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nandosanchezandrade/Dropbox/_P. Innovador/CLAUDE/Estados Financieros/"/>
    </mc:Choice>
  </mc:AlternateContent>
  <xr:revisionPtr revIDLastSave="0" documentId="13_ncr:1_{E7DDE299-6DC6-0449-9538-602E7B92DA5F}" xr6:coauthVersionLast="47" xr6:coauthVersionMax="47" xr10:uidLastSave="{00000000-0000-0000-0000-000000000000}"/>
  <bookViews>
    <workbookView xWindow="1180" yWindow="1500" windowWidth="27240" windowHeight="15220" xr2:uid="{8283F0B3-E88F-DC4F-8214-9ACADBFCEA8B}"/>
  </bookViews>
  <sheets>
    <sheet name="EERR" sheetId="1" r:id="rId1"/>
  </sheets>
  <externalReferences>
    <externalReference r:id="rId2"/>
  </externalReferences>
  <definedNames>
    <definedName name="admin">#REF!</definedName>
    <definedName name="Bas_clas">#REF!</definedName>
    <definedName name="Bas_Prov">#REF!</definedName>
    <definedName name="Base_1">#REF!</definedName>
    <definedName name="BASE_2">#REF!</definedName>
    <definedName name="BASE_ART">#REF!</definedName>
    <definedName name="Base_Gto">#REF!</definedName>
    <definedName name="Base_nom">#REF!</definedName>
    <definedName name="Base_Prod">#REF!</definedName>
    <definedName name="base_prv">#REF!</definedName>
    <definedName name="Base_rep">#REF!</definedName>
    <definedName name="Base_Venta">#REF!</definedName>
    <definedName name="Base1">#REF!</definedName>
    <definedName name="Clav_Prod">#REF!</definedName>
    <definedName name="Com_mestrab">#REF!</definedName>
    <definedName name="Com_ProvMens">#REF!</definedName>
    <definedName name="Comp_17">#REF!</definedName>
    <definedName name="comp_abr17">#REF!</definedName>
    <definedName name="Comp_Ene17">#REF!</definedName>
    <definedName name="Comp_EneAbr">#REF!</definedName>
    <definedName name="comp_feb17">#REF!</definedName>
    <definedName name="comp_Jul17">#REF!</definedName>
    <definedName name="Comp_Jun17">#REF!</definedName>
    <definedName name="comp_mar17">#REF!</definedName>
    <definedName name="consumo">#REF!</definedName>
    <definedName name="consumopt">#REF!</definedName>
    <definedName name="COSO">#REF!</definedName>
    <definedName name="Cto_Men17">#REF!</definedName>
    <definedName name="Dat_BasicPtos">#REF!</definedName>
    <definedName name="detalle">#REF!</definedName>
    <definedName name="Exit3Switch">#REF!</definedName>
    <definedName name="ExitDate">#REF!</definedName>
    <definedName name="ExitScenario">#REF!</definedName>
    <definedName name="ExitSwitch">#REF!</definedName>
    <definedName name="FDGDGFDHGFDHDH">#REF!</definedName>
    <definedName name="Gto_Mes">#REF!</definedName>
    <definedName name="homedepot">#REF!</definedName>
    <definedName name="Imp_Econ">#REF!</definedName>
    <definedName name="Inc_Vta">#REF!</definedName>
    <definedName name="InterestRate">#REF!</definedName>
    <definedName name="Inv_FinMay">#REF!</definedName>
    <definedName name="Inv_FinMens">#REF!</definedName>
    <definedName name="InV_Trab">#REF!</definedName>
    <definedName name="JHBFSDFJDSKFJKDSBFS">#REF!</definedName>
    <definedName name="Lista_productos">#REF!</definedName>
    <definedName name="NADFA">#REF!</definedName>
    <definedName name="Octubre20">#REF!</definedName>
    <definedName name="Ppto_Acum">#REF!</definedName>
    <definedName name="PROD_MAY">#REF!</definedName>
    <definedName name="promexjun17">#REF!</definedName>
    <definedName name="proveedores">#REF!</definedName>
    <definedName name="Scenario">#REF!</definedName>
    <definedName name="sdnbsfsk">#REF!</definedName>
    <definedName name="Sponsor1EquityShare">#REF!</definedName>
    <definedName name="Sponsor2EquityShare">#REF!</definedName>
    <definedName name="SuccesPremiumSwitch">#REF!</definedName>
    <definedName name="TC">#REF!</definedName>
    <definedName name="TCENE">#REF!</definedName>
    <definedName name="Telemarketing">#REF!</definedName>
    <definedName name="toña">#REF!</definedName>
    <definedName name="Transaction_Date">#REF!</definedName>
    <definedName name="tres">#REF!</definedName>
    <definedName name="TVMultiple">#REF!</definedName>
    <definedName name="UNIDAD">#REF!</definedName>
    <definedName name="UNIDAD_MED">#REF!</definedName>
    <definedName name="uno">#REF!</definedName>
    <definedName name="VENTA">#REF!</definedName>
    <definedName name="Venta_promedio">#REF!</definedName>
    <definedName name="vta_acuAbr">#REF!</definedName>
    <definedName name="Vta_Jul17">#REF!</definedName>
    <definedName name="Vta_jun">#REF!</definedName>
    <definedName name="Vta_mmago">#REF!</definedName>
    <definedName name="Vta_most">#REF!</definedName>
    <definedName name="VtaMM_abr">#REF!</definedName>
    <definedName name="VtaMM_Mes">#REF!</definedName>
    <definedName name="Vtas_Jun17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D12" i="1" a="1"/>
  <c r="D12" i="1" s="1"/>
  <c r="E12" i="1" a="1"/>
  <c r="E12" i="1" s="1"/>
  <c r="F12" i="1" a="1"/>
  <c r="F12" i="1" s="1"/>
  <c r="G12" i="1" a="1"/>
  <c r="G12" i="1" s="1"/>
  <c r="D13" i="1" a="1"/>
  <c r="D13" i="1" s="1"/>
  <c r="E13" i="1" a="1"/>
  <c r="E13" i="1" s="1"/>
  <c r="F13" i="1" a="1"/>
  <c r="F13" i="1" s="1"/>
  <c r="G13" i="1" a="1"/>
  <c r="G13" i="1" s="1"/>
  <c r="D14" i="1"/>
  <c r="E14" i="1"/>
  <c r="F14" i="1"/>
  <c r="G14" i="1"/>
  <c r="D15" i="1"/>
  <c r="E15" i="1"/>
  <c r="F15" i="1"/>
  <c r="G15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D27" i="1"/>
  <c r="E27" i="1"/>
  <c r="F27" i="1"/>
  <c r="G27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6" i="1"/>
  <c r="E56" i="1"/>
  <c r="F56" i="1"/>
  <c r="G56" i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65" i="1"/>
  <c r="E65" i="1"/>
  <c r="F65" i="1"/>
  <c r="G65" i="1"/>
  <c r="D66" i="1"/>
  <c r="E66" i="1"/>
  <c r="F66" i="1"/>
  <c r="G66" i="1"/>
  <c r="G61" i="1" l="1"/>
  <c r="F61" i="1"/>
  <c r="E61" i="1"/>
  <c r="D61" i="1"/>
  <c r="F44" i="1"/>
  <c r="F28" i="1"/>
  <c r="D28" i="1"/>
  <c r="G28" i="1"/>
  <c r="E28" i="1"/>
  <c r="E44" i="1"/>
  <c r="D44" i="1"/>
  <c r="G44" i="1"/>
  <c r="F16" i="1"/>
  <c r="F30" i="1" s="1"/>
  <c r="F31" i="1" s="1"/>
  <c r="F46" i="1"/>
  <c r="G16" i="1"/>
  <c r="F70" i="1"/>
  <c r="E16" i="1"/>
  <c r="D16" i="1"/>
  <c r="F47" i="1" l="1"/>
  <c r="F63" i="1"/>
  <c r="F67" i="1" s="1"/>
  <c r="G30" i="1"/>
  <c r="G17" i="1"/>
  <c r="F68" i="1"/>
  <c r="F74" i="1"/>
  <c r="F75" i="1" s="1"/>
  <c r="F71" i="1"/>
  <c r="F17" i="1"/>
  <c r="E30" i="1"/>
  <c r="E17" i="1"/>
  <c r="D30" i="1"/>
  <c r="D17" i="1"/>
  <c r="G46" i="1" l="1"/>
  <c r="G31" i="1"/>
  <c r="E46" i="1"/>
  <c r="E31" i="1"/>
  <c r="D46" i="1"/>
  <c r="D31" i="1"/>
  <c r="G47" i="1" l="1"/>
  <c r="G70" i="1"/>
  <c r="G63" i="1"/>
  <c r="G67" i="1" s="1"/>
  <c r="E63" i="1"/>
  <c r="E67" i="1" s="1"/>
  <c r="E47" i="1"/>
  <c r="E70" i="1"/>
  <c r="D70" i="1"/>
  <c r="D47" i="1"/>
  <c r="D63" i="1"/>
  <c r="D67" i="1" s="1"/>
  <c r="D68" i="1" s="1"/>
  <c r="G71" i="1" l="1"/>
  <c r="G74" i="1"/>
  <c r="G75" i="1" s="1"/>
  <c r="G68" i="1"/>
  <c r="E68" i="1"/>
  <c r="E74" i="1"/>
  <c r="E75" i="1" s="1"/>
  <c r="E71" i="1"/>
  <c r="D74" i="1"/>
  <c r="D75" i="1" s="1"/>
  <c r="D7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Martinez</author>
  </authors>
  <commentList>
    <comment ref="F73" authorId="0" shapeId="0" xr:uid="{A28461B5-7D27-46E7-833A-FC99819DE2F8}">
      <text>
        <r>
          <rPr>
            <sz val="9"/>
            <color indexed="81"/>
            <rFont val="Tahoma"/>
            <family val="2"/>
          </rPr>
          <t>Monto aproximado, pendiente dato real.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<sst xmlns="http://schemas.openxmlformats.org/spreadsheetml/2006/main" count="64" uniqueCount="60">
  <si>
    <t>Project Shine - Combined Group</t>
  </si>
  <si>
    <t>P&amp;L</t>
  </si>
  <si>
    <t>MXN</t>
  </si>
  <si>
    <t>x</t>
  </si>
  <si>
    <t>Profit &amp; Loss</t>
  </si>
  <si>
    <t>Revenues</t>
  </si>
  <si>
    <t>Sales</t>
  </si>
  <si>
    <t>(-) Returns and Discounts</t>
  </si>
  <si>
    <t>(-) PISA Sales</t>
  </si>
  <si>
    <t>(-) PIMA Sales to PI</t>
  </si>
  <si>
    <t>Total Revenue</t>
  </si>
  <si>
    <t>growth %</t>
  </si>
  <si>
    <t>COGS</t>
  </si>
  <si>
    <t>(-) Cost of Goods Sold</t>
  </si>
  <si>
    <t>(-) Financial Gain (loss)</t>
  </si>
  <si>
    <t>(-) Manufacturing COGS</t>
  </si>
  <si>
    <t>(-) Labour COGS</t>
  </si>
  <si>
    <t>(-) Depreciation COGS</t>
  </si>
  <si>
    <t>(-) Amortization COGS</t>
  </si>
  <si>
    <t>(+) PI COGS caused by PIMA</t>
  </si>
  <si>
    <t>(+) Rent expense from PIMA to PI</t>
  </si>
  <si>
    <t>Total COGS</t>
  </si>
  <si>
    <t>Gross Profit</t>
  </si>
  <si>
    <t>Gross margin %</t>
  </si>
  <si>
    <t>SG&amp;A</t>
  </si>
  <si>
    <t>(-) Manufacturing Expenses</t>
  </si>
  <si>
    <t>(-) Selling Expenses</t>
  </si>
  <si>
    <t>(-) Freight Expense</t>
  </si>
  <si>
    <t>(-) Administrative Expenses</t>
  </si>
  <si>
    <t>(-) Management Expenses</t>
  </si>
  <si>
    <t>(-) Depreciation Expenses</t>
  </si>
  <si>
    <t>(-) Amortization Expenses</t>
  </si>
  <si>
    <t>(-) Business Development &amp; Monitoring Fees</t>
  </si>
  <si>
    <t>(+) PI &amp; PIMA SG&amp;A caused by PISA</t>
  </si>
  <si>
    <t>(+) Rent expense from PISA to PI</t>
  </si>
  <si>
    <t>Total SG&amp;A</t>
  </si>
  <si>
    <t>Operating Profit</t>
  </si>
  <si>
    <t>Operating Profit margin %</t>
  </si>
  <si>
    <t>(+) Financial products</t>
  </si>
  <si>
    <t>(-) Financial expenses</t>
  </si>
  <si>
    <t>(+/-) Exchange gain or loss</t>
  </si>
  <si>
    <t>(-) Revolving Credit Facility Interests</t>
  </si>
  <si>
    <t>(-) Revolving Credit Facility Fees</t>
  </si>
  <si>
    <t>Financial Gain (Loss), Net</t>
  </si>
  <si>
    <t>(+) Other Products</t>
  </si>
  <si>
    <t>(+) Other Income</t>
  </si>
  <si>
    <t>(-) Other Expenses</t>
  </si>
  <si>
    <t>(-) Rent expense from PIMA to PI</t>
  </si>
  <si>
    <t>(-) Rent expense from PISA to PI</t>
  </si>
  <si>
    <t>Other Income (Loss), Net</t>
  </si>
  <si>
    <t>EBT</t>
  </si>
  <si>
    <t>(-) Taxes</t>
  </si>
  <si>
    <t>(-) PTU</t>
  </si>
  <si>
    <t>Net Income</t>
  </si>
  <si>
    <t>Net income margin %</t>
  </si>
  <si>
    <t>EBITDA</t>
  </si>
  <si>
    <t>EBITDA margin %</t>
  </si>
  <si>
    <t>(+) Non-Operating Expenses/Income</t>
  </si>
  <si>
    <t>Normalized EBITDA</t>
  </si>
  <si>
    <t>Normalized EBITDA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</si>
</sst>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_);\(#,##0\);&quot;-&quot;_)"/>
    <numFmt numFmtId="165" formatCode="#,##0;\(#,##0\);&quot;–&quot;;@"/>
    <numFmt numFmtId="166" formatCode="#,##0.00;\(#,##0.00\);&quot;–&quot;;@"/>
    <numFmt numFmtId="167" formatCode="_(#,##0.0%_);\(#,##0.0%\);_(&quot;–&quot;_)_%;_(@_)_%"/>
    <numFmt numFmtId="168" formatCode="#,##0.0%_);\(#,##0.0%\)"/>
    <numFmt numFmtId="169" formatCode="_(#,##0_)_%;\(#,##0\)_%;_(&quot;–&quot;_)_%;_(@_)_%"/>
    <numFmt numFmtId="170" formatCode="0%_);\(0%\);0%_);@_)"/>
    <numFmt numFmtId="171" formatCode="0000\A"/>
    <numFmt numFmtId="172" formatCode="#,##0.0_);\(#,##0.0\);&quot;-&quot;_)"/>
    <numFmt numFmtId="173" formatCode="#&quot;A&quot;"/>
  </numFmts>
  <fonts count="26">
    <font>
      <sz val="8"/>
      <color theme="3"/>
      <name val="Arial"/>
      <family val="2"/>
    </font>
    <font>
      <sz val="10"/>
      <color theme="3"/>
      <name val="Calibri"/>
      <family val="2"/>
      <scheme val="minor"/>
    </font>
    <font>
      <sz val="10"/>
      <color rgb="FF6D6E71"/>
      <name val="Calibri"/>
      <family val="2"/>
      <scheme val="minor"/>
    </font>
    <font>
      <i/>
      <sz val="10"/>
      <color theme="0" tint="-0.34998626667073579"/>
      <name val="Calibri"/>
      <family val="2"/>
      <scheme val="minor"/>
    </font>
    <font>
      <b/>
      <sz val="10"/>
      <color rgb="FF6D6E71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b/>
      <sz val="8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rgb="FF008000"/>
      <name val="Calibri"/>
      <family val="2"/>
      <scheme val="minor"/>
    </font>
    <font>
      <b/>
      <u/>
      <sz val="10"/>
      <color rgb="FF6D6E71"/>
      <name val="Calibri"/>
      <family val="2"/>
      <scheme val="minor"/>
    </font>
    <font>
      <i/>
      <sz val="8"/>
      <color rgb="FFAFB1B3"/>
      <name val="Arial"/>
      <family val="2"/>
    </font>
    <font>
      <sz val="10"/>
      <color rgb="FF6D6E6A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70C0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i/>
      <sz val="10"/>
      <color rgb="FF6D6E71"/>
      <name val="Calibri"/>
      <family val="2"/>
      <scheme val="minor"/>
    </font>
    <font>
      <b/>
      <sz val="8"/>
      <color theme="3"/>
      <name val="Arial"/>
      <family val="2"/>
    </font>
    <font>
      <sz val="10"/>
      <color rgb="FF0070C3"/>
      <name val="Calibri"/>
      <family val="2"/>
      <scheme val="minor"/>
    </font>
    <font>
      <b/>
      <i/>
      <sz val="10"/>
      <color theme="3"/>
      <name val="Calibri"/>
      <family val="2"/>
      <scheme val="minor"/>
    </font>
    <font>
      <i/>
      <sz val="10"/>
      <color rgb="FFAFB1B3"/>
      <name val="Calibri"/>
      <family val="2"/>
      <scheme val="minor"/>
    </font>
    <font>
      <sz val="8"/>
      <name val="Arial"/>
      <family val="2"/>
    </font>
    <font>
      <sz val="8"/>
      <color rgb="FF008000"/>
      <name val="Arial"/>
      <family val="2"/>
    </font>
    <font>
      <sz val="10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478FB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ECF3"/>
        <bgColor indexed="64"/>
      </patternFill>
    </fill>
    <fill>
      <patternFill patternType="solid">
        <fgColor rgb="FF6D6E6A"/>
        <bgColor indexed="64"/>
      </patternFill>
    </fill>
    <fill>
      <patternFill patternType="solid">
        <fgColor rgb="FF00416A"/>
        <bgColor indexed="64"/>
      </patternFill>
    </fill>
  </fills>
  <borders count="8">
    <border>
      <left/>
      <right/>
      <top/>
      <bottom/>
      <diagonal/>
    </border>
    <border>
      <left/>
      <right/>
      <top style="dashed">
        <color rgb="FF6D6E71"/>
      </top>
      <bottom style="dashed">
        <color rgb="FF6D6E71"/>
      </bottom>
      <diagonal/>
    </border>
    <border>
      <left/>
      <right/>
      <top style="dotted">
        <color theme="3"/>
      </top>
      <bottom style="dotted">
        <color theme="3"/>
      </bottom>
      <diagonal/>
    </border>
    <border>
      <left style="dashed">
        <color rgb="FF6D6E6A"/>
      </left>
      <right/>
      <top style="dashed">
        <color rgb="FF6D6E6A"/>
      </top>
      <bottom style="dashed">
        <color rgb="FF6D6E6A"/>
      </bottom>
      <diagonal/>
    </border>
    <border>
      <left/>
      <right/>
      <top style="dashed">
        <color rgb="FF6D6E71"/>
      </top>
      <bottom style="dotted">
        <color rgb="FF6D6E6A"/>
      </bottom>
      <diagonal/>
    </border>
    <border>
      <left style="dashed">
        <color rgb="FF6D6E6A"/>
      </left>
      <right/>
      <top style="dashed">
        <color rgb="FF6D6E6A"/>
      </top>
      <bottom style="dotted">
        <color rgb="FF6D6E6A"/>
      </bottom>
      <diagonal/>
    </border>
    <border>
      <left/>
      <right/>
      <top style="dashed">
        <color rgb="FF6D6E71"/>
      </top>
      <bottom style="dashed">
        <color rgb="FF6D6E6A"/>
      </bottom>
      <diagonal/>
    </border>
    <border>
      <left/>
      <right/>
      <top/>
      <bottom style="thin">
        <color indexed="64"/>
      </bottom>
      <diagonal/>
    </border>
  </borders>
  <cellStyleXfs count="5">
    <xf numFmtId="164" fontId="0" fillId="0" borderId="0">
      <alignment horizontal="right" vertical="center"/>
    </xf>
    <xf numFmtId="164" fontId="10" fillId="0" borderId="0">
      <alignment horizontal="right" vertical="center"/>
    </xf>
    <xf numFmtId="0" fontId="6" fillId="2" borderId="0">
      <alignment vertical="center"/>
    </xf>
    <xf numFmtId="164" fontId="16" fillId="5" borderId="2">
      <alignment horizontal="right" vertical="center"/>
    </xf>
    <xf numFmtId="0" fontId="6" fillId="7" borderId="0">
      <alignment vertical="center"/>
    </xf>
  </cellStyleXfs>
  <cellXfs count="59">
    <xf numFmtId="164" fontId="0" fillId="0" borderId="0" xfId="0">
      <alignment horizontal="right" vertical="center"/>
    </xf>
    <xf numFmtId="164" fontId="1" fillId="0" borderId="0" xfId="0" applyFont="1">
      <alignment horizontal="right" vertical="center"/>
    </xf>
    <xf numFmtId="164" fontId="2" fillId="0" borderId="0" xfId="0" applyFont="1" applyAlignment="1">
      <alignment vertical="center"/>
    </xf>
    <xf numFmtId="164" fontId="2" fillId="0" borderId="0" xfId="0" applyFont="1">
      <alignment horizontal="right" vertical="center"/>
    </xf>
    <xf numFmtId="164" fontId="1" fillId="0" borderId="0" xfId="0" applyFont="1" applyAlignment="1">
      <alignment vertical="center"/>
    </xf>
    <xf numFmtId="164" fontId="3" fillId="0" borderId="0" xfId="0" applyFont="1" applyAlignment="1">
      <alignment vertical="center"/>
    </xf>
    <xf numFmtId="165" fontId="2" fillId="0" borderId="0" xfId="0" applyNumberFormat="1" applyFont="1">
      <alignment horizontal="right" vertical="center"/>
    </xf>
    <xf numFmtId="165" fontId="2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7" fillId="0" borderId="0" xfId="2" applyFont="1" applyFill="1">
      <alignment vertical="center"/>
    </xf>
    <xf numFmtId="0" fontId="7" fillId="3" borderId="0" xfId="2" applyFont="1" applyFill="1">
      <alignment vertical="center"/>
    </xf>
    <xf numFmtId="165" fontId="8" fillId="0" borderId="0" xfId="0" applyNumberFormat="1" applyFont="1">
      <alignment horizontal="right" vertical="center"/>
    </xf>
    <xf numFmtId="165" fontId="8" fillId="0" borderId="0" xfId="0" applyNumberFormat="1" applyFont="1" applyAlignment="1">
      <alignment vertical="center"/>
    </xf>
    <xf numFmtId="164" fontId="4" fillId="0" borderId="0" xfId="0" applyFont="1" applyAlignment="1">
      <alignment horizontal="left" vertical="center"/>
    </xf>
    <xf numFmtId="164" fontId="2" fillId="0" borderId="0" xfId="0" applyFont="1" applyAlignment="1">
      <alignment horizontal="left" vertical="center"/>
    </xf>
    <xf numFmtId="164" fontId="9" fillId="0" borderId="0" xfId="0" applyFont="1" applyAlignment="1">
      <alignment horizontal="left" vertical="center"/>
    </xf>
    <xf numFmtId="164" fontId="11" fillId="0" borderId="0" xfId="0" applyFont="1">
      <alignment horizontal="right" vertical="center"/>
    </xf>
    <xf numFmtId="164" fontId="12" fillId="0" borderId="0" xfId="0" applyFont="1" applyAlignment="1">
      <alignment horizontal="left" vertical="center"/>
    </xf>
    <xf numFmtId="166" fontId="13" fillId="4" borderId="0" xfId="0" applyNumberFormat="1" applyFont="1" applyFill="1">
      <alignment horizontal="right" vertical="center"/>
    </xf>
    <xf numFmtId="165" fontId="13" fillId="4" borderId="0" xfId="0" applyNumberFormat="1" applyFont="1" applyFill="1">
      <alignment horizontal="right" vertical="center"/>
    </xf>
    <xf numFmtId="167" fontId="14" fillId="0" borderId="0" xfId="0" applyNumberFormat="1" applyFont="1">
      <alignment horizontal="right" vertical="center"/>
    </xf>
    <xf numFmtId="168" fontId="15" fillId="0" borderId="0" xfId="0" applyNumberFormat="1" applyFont="1">
      <alignment horizontal="right" vertical="center"/>
    </xf>
    <xf numFmtId="164" fontId="15" fillId="0" borderId="0" xfId="0" applyFont="1" applyAlignment="1">
      <alignment horizontal="left" vertical="center" indent="1"/>
    </xf>
    <xf numFmtId="165" fontId="4" fillId="5" borderId="1" xfId="0" applyNumberFormat="1" applyFont="1" applyFill="1" applyBorder="1" applyAlignment="1">
      <alignment vertical="center"/>
    </xf>
    <xf numFmtId="164" fontId="4" fillId="5" borderId="3" xfId="3" applyFont="1" applyBorder="1" applyAlignment="1">
      <alignment horizontal="left" vertical="center"/>
    </xf>
    <xf numFmtId="165" fontId="17" fillId="0" borderId="0" xfId="0" applyNumberFormat="1" applyFont="1" applyAlignment="1">
      <alignment vertical="center"/>
    </xf>
    <xf numFmtId="169" fontId="2" fillId="0" borderId="0" xfId="0" applyNumberFormat="1" applyFont="1" applyAlignment="1">
      <alignment horizontal="left" vertical="center"/>
    </xf>
    <xf numFmtId="170" fontId="15" fillId="0" borderId="0" xfId="3" applyNumberFormat="1" applyFont="1" applyFill="1" applyBorder="1" applyAlignment="1">
      <alignment vertical="center"/>
    </xf>
    <xf numFmtId="165" fontId="4" fillId="0" borderId="0" xfId="3" applyNumberFormat="1" applyFont="1" applyFill="1" applyBorder="1">
      <alignment horizontal="right" vertical="center"/>
    </xf>
    <xf numFmtId="165" fontId="4" fillId="5" borderId="4" xfId="0" applyNumberFormat="1" applyFont="1" applyFill="1" applyBorder="1" applyAlignment="1">
      <alignment vertical="center"/>
    </xf>
    <xf numFmtId="164" fontId="4" fillId="5" borderId="5" xfId="3" applyFont="1" applyBorder="1" applyAlignment="1">
      <alignment horizontal="left" vertical="center"/>
    </xf>
    <xf numFmtId="165" fontId="11" fillId="0" borderId="0" xfId="0" applyNumberFormat="1" applyFont="1">
      <alignment horizontal="right" vertical="center"/>
    </xf>
    <xf numFmtId="165" fontId="12" fillId="0" borderId="0" xfId="0" applyNumberFormat="1" applyFont="1" applyAlignment="1">
      <alignment horizontal="left" vertical="center"/>
    </xf>
    <xf numFmtId="165" fontId="18" fillId="0" borderId="0" xfId="0" applyNumberFormat="1" applyFont="1">
      <alignment horizontal="right" vertical="center"/>
    </xf>
    <xf numFmtId="169" fontId="2" fillId="0" borderId="0" xfId="3" applyNumberFormat="1" applyFont="1" applyFill="1" applyBorder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4" fontId="2" fillId="0" borderId="0" xfId="0" applyFont="1" applyAlignment="1">
      <alignment horizontal="left" vertical="center" indent="1"/>
    </xf>
    <xf numFmtId="164" fontId="19" fillId="0" borderId="0" xfId="1" applyFont="1" applyAlignment="1">
      <alignment horizontal="left" vertical="center" indent="1"/>
    </xf>
    <xf numFmtId="165" fontId="0" fillId="0" borderId="0" xfId="0" applyNumberFormat="1">
      <alignment horizontal="right" vertical="center"/>
    </xf>
    <xf numFmtId="171" fontId="2" fillId="0" borderId="0" xfId="0" applyNumberFormat="1" applyFont="1" applyAlignment="1">
      <alignment vertical="center"/>
    </xf>
    <xf numFmtId="168" fontId="20" fillId="0" borderId="0" xfId="0" applyNumberFormat="1" applyFont="1">
      <alignment horizontal="right" vertical="center"/>
    </xf>
    <xf numFmtId="167" fontId="9" fillId="0" borderId="0" xfId="0" applyNumberFormat="1" applyFont="1" applyAlignment="1">
      <alignment horizontal="left" vertical="center"/>
    </xf>
    <xf numFmtId="164" fontId="15" fillId="4" borderId="0" xfId="0" applyFont="1" applyFill="1">
      <alignment horizontal="right" vertical="center"/>
    </xf>
    <xf numFmtId="165" fontId="4" fillId="5" borderId="6" xfId="0" applyNumberFormat="1" applyFont="1" applyFill="1" applyBorder="1" applyAlignment="1">
      <alignment vertical="center"/>
    </xf>
    <xf numFmtId="165" fontId="21" fillId="0" borderId="0" xfId="0" applyNumberFormat="1" applyFont="1">
      <alignment horizontal="right" vertical="center"/>
    </xf>
    <xf numFmtId="172" fontId="1" fillId="4" borderId="0" xfId="0" applyNumberFormat="1" applyFont="1" applyFill="1">
      <alignment horizontal="right" vertical="center"/>
    </xf>
    <xf numFmtId="172" fontId="19" fillId="4" borderId="0" xfId="1" applyNumberFormat="1" applyFont="1" applyFill="1" applyAlignment="1">
      <alignment horizontal="left" vertical="center" indent="1"/>
    </xf>
    <xf numFmtId="172" fontId="2" fillId="4" borderId="0" xfId="0" applyNumberFormat="1" applyFont="1" applyFill="1">
      <alignment horizontal="right" vertical="center"/>
    </xf>
    <xf numFmtId="164" fontId="2" fillId="0" borderId="0" xfId="3" applyFont="1" applyFill="1" applyBorder="1" applyAlignment="1">
      <alignment horizontal="left" vertical="center"/>
    </xf>
    <xf numFmtId="173" fontId="4" fillId="0" borderId="7" xfId="0" applyNumberFormat="1" applyFont="1" applyBorder="1" applyAlignment="1">
      <alignment vertical="center"/>
    </xf>
    <xf numFmtId="164" fontId="15" fillId="0" borderId="7" xfId="0" applyFont="1" applyBorder="1" applyAlignment="1">
      <alignment horizontal="left" vertical="center"/>
    </xf>
    <xf numFmtId="164" fontId="4" fillId="0" borderId="0" xfId="0" applyFont="1">
      <alignment horizontal="right" vertical="center"/>
    </xf>
    <xf numFmtId="164" fontId="2" fillId="4" borderId="0" xfId="0" applyFont="1" applyFill="1">
      <alignment horizontal="right" vertical="center"/>
    </xf>
    <xf numFmtId="164" fontId="2" fillId="4" borderId="0" xfId="0" applyFont="1" applyFill="1" applyAlignment="1">
      <alignment horizontal="center" vertical="center"/>
    </xf>
    <xf numFmtId="164" fontId="2" fillId="0" borderId="0" xfId="0" applyFont="1" applyAlignment="1">
      <alignment horizontal="center" vertical="center"/>
    </xf>
    <xf numFmtId="164" fontId="22" fillId="6" borderId="0" xfId="0" applyFont="1" applyFill="1" applyAlignment="1">
      <alignment vertical="center"/>
    </xf>
    <xf numFmtId="164" fontId="23" fillId="6" borderId="0" xfId="0" applyFont="1" applyFill="1" applyAlignment="1">
      <alignment vertical="center"/>
    </xf>
    <xf numFmtId="0" fontId="24" fillId="6" borderId="0" xfId="4" applyFont="1" applyFill="1">
      <alignment vertical="center"/>
    </xf>
    <xf numFmtId="164" fontId="24" fillId="6" borderId="0" xfId="0" applyFont="1" applyFill="1" applyAlignment="1">
      <alignment vertical="center"/>
    </xf>
  </cellXfs>
  <cellStyles count="5">
    <cellStyle name="Celda de comprobación" xfId="1" builtinId="23"/>
    <cellStyle name="Heading 1 2" xfId="4" xr:uid="{E792CA8F-7DE3-0A41-A570-4D7F907D4784}"/>
    <cellStyle name="Heading 2 2" xfId="2" xr:uid="{9C15606B-000A-824D-A205-8D22DDABDE62}"/>
    <cellStyle name="Normal" xfId="0" builtinId="0"/>
    <cellStyle name="Title 2" xfId="3" xr:uid="{BF9C51B2-F1FC-BA49-8AB5-2FE8A9302C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'Table of Content'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9385" cy="177800"/>
    <xdr:pic>
      <xdr:nvPicPr>
        <xdr:cNvPr id="2" name="Graphic 1" descr="Back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73CBFB-818A-7F46-877F-D564799A9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159385" cy="1778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fernandosanchezandrade/Dropbox/_P.%20Innovador/Project%20Shine%20Historical%20Financial%20Statements%202022-2025_v2.xlsx" TargetMode="External"/><Relationship Id="rId2" Type="http://schemas.openxmlformats.org/officeDocument/2006/relationships/externalLinkPath" Target="https://getmorelcgmx.sharepoint.com/Users/fernandosanchezandrade/Dropbox/_P.%20Innovador/Project%20Shine%20Historical%20Financial%20Statements%202022-2025_v2.xlsx" TargetMode="External"/><Relationship Id="rId1" Type="http://schemas.openxmlformats.org/officeDocument/2006/relationships/externalLinkPath" Target="/Users/fernandosanchezandrade/Dropbox/_P.%20Innovador/Project%20Shine%20Historical%20Financial%20Statements%202022-2025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 "/>
      <sheetName val="Commercialization Co."/>
      <sheetName val="Manufacturing Co."/>
      <sheetName val="Admin Co."/>
      <sheetName val="InterCompany"/>
    </sheetNames>
    <sheetDataSet>
      <sheetData sheetId="0"/>
      <sheetData sheetId="1">
        <row r="9">
          <cell r="C9" t="str">
            <v>Profit &amp; Loss</v>
          </cell>
        </row>
        <row r="11">
          <cell r="C11" t="str">
            <v>Revenues</v>
          </cell>
        </row>
        <row r="12">
          <cell r="C12" t="str">
            <v>Sales</v>
          </cell>
          <cell r="D12">
            <v>1908745693.8</v>
          </cell>
          <cell r="E12">
            <v>2281046968.5100002</v>
          </cell>
          <cell r="F12">
            <v>2321951004.5799999</v>
          </cell>
          <cell r="G12">
            <v>2025220386.52</v>
          </cell>
        </row>
        <row r="13">
          <cell r="C13" t="str">
            <v>(-) Returns and Discounts</v>
          </cell>
          <cell r="D13">
            <v>-142902864.54000002</v>
          </cell>
          <cell r="E13">
            <v>-199374952.18000001</v>
          </cell>
          <cell r="F13">
            <v>-304219365.67000002</v>
          </cell>
          <cell r="G13">
            <v>-268913151.63</v>
          </cell>
        </row>
        <row r="14">
          <cell r="C14" t="str">
            <v>Total Revenue</v>
          </cell>
          <cell r="D14">
            <v>1765842829.26</v>
          </cell>
          <cell r="E14">
            <v>2081672016.3300002</v>
          </cell>
          <cell r="F14">
            <v>2017731638.9099998</v>
          </cell>
          <cell r="G14">
            <v>1756307234.8899999</v>
          </cell>
        </row>
        <row r="15">
          <cell r="C15" t="str">
            <v>growth %</v>
          </cell>
          <cell r="D15" t="str">
            <v>NA</v>
          </cell>
          <cell r="E15">
            <v>0.17885464200817491</v>
          </cell>
          <cell r="F15">
            <v>-3.0715874988187397E-2</v>
          </cell>
          <cell r="G15">
            <v>-0.12956351527561127</v>
          </cell>
        </row>
        <row r="17">
          <cell r="C17" t="str">
            <v>COGS</v>
          </cell>
        </row>
        <row r="18">
          <cell r="C18" t="str">
            <v>(-) Cost of Goods Sold</v>
          </cell>
          <cell r="D18">
            <v>-1132817493.96</v>
          </cell>
          <cell r="E18">
            <v>-1225027619.2800002</v>
          </cell>
          <cell r="F18">
            <v>-1245801444.76</v>
          </cell>
          <cell r="G18">
            <v>-1101531104.8399999</v>
          </cell>
        </row>
        <row r="19">
          <cell r="C19" t="str">
            <v>(-) Financial Gain (loss)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C20" t="str">
            <v>Total COGS</v>
          </cell>
          <cell r="D20">
            <v>-1132817493.96</v>
          </cell>
          <cell r="E20">
            <v>-1225027619.2800002</v>
          </cell>
          <cell r="F20">
            <v>-1245801444.76</v>
          </cell>
          <cell r="G20">
            <v>-1101531104.8399999</v>
          </cell>
        </row>
        <row r="22">
          <cell r="C22" t="str">
            <v>Gross Profit</v>
          </cell>
          <cell r="D22">
            <v>633025335.29999995</v>
          </cell>
          <cell r="E22">
            <v>856644397.04999995</v>
          </cell>
          <cell r="F22">
            <v>771930194.14999986</v>
          </cell>
          <cell r="G22">
            <v>654776130.04999995</v>
          </cell>
        </row>
        <row r="23">
          <cell r="C23" t="str">
            <v>Gross margin %</v>
          </cell>
          <cell r="D23">
            <v>0.35848339660290018</v>
          </cell>
          <cell r="E23">
            <v>0.41151746784792209</v>
          </cell>
          <cell r="F23">
            <v>0.38257327152138271</v>
          </cell>
          <cell r="G23">
            <v>0.37281411648401569</v>
          </cell>
        </row>
        <row r="25">
          <cell r="C25" t="str">
            <v>SG&amp;A</v>
          </cell>
        </row>
        <row r="26">
          <cell r="C26" t="str">
            <v>(-) Manufacturing Expenses</v>
          </cell>
          <cell r="D26">
            <v>13784637.800000012</v>
          </cell>
          <cell r="E26">
            <v>27423614.939999998</v>
          </cell>
          <cell r="F26">
            <v>32887233.960000008</v>
          </cell>
          <cell r="G26">
            <v>-53025904.73999998</v>
          </cell>
        </row>
        <row r="27">
          <cell r="C27" t="str">
            <v>(-) Selling Expenses</v>
          </cell>
          <cell r="D27">
            <v>-51796639.599999994</v>
          </cell>
          <cell r="E27">
            <v>-61750304.729999989</v>
          </cell>
          <cell r="F27">
            <v>-100345564.58999996</v>
          </cell>
          <cell r="G27">
            <v>-78927213.409999996</v>
          </cell>
        </row>
        <row r="28">
          <cell r="C28" t="str">
            <v>(-) Freight Expense</v>
          </cell>
          <cell r="D28">
            <v>-168967533.63</v>
          </cell>
          <cell r="E28">
            <v>-164844859.63999999</v>
          </cell>
          <cell r="F28">
            <v>-150936289.04000002</v>
          </cell>
          <cell r="G28">
            <v>-134709566.68000001</v>
          </cell>
        </row>
        <row r="29">
          <cell r="C29" t="str">
            <v>(-) Administrative Expenses</v>
          </cell>
          <cell r="D29">
            <v>-28843805.459999993</v>
          </cell>
          <cell r="E29">
            <v>-44324117.400000013</v>
          </cell>
          <cell r="F29">
            <v>-47724202.140000001</v>
          </cell>
          <cell r="G29">
            <v>-58669696.049999997</v>
          </cell>
        </row>
        <row r="30">
          <cell r="C30" t="str">
            <v>(-) Management Expenses</v>
          </cell>
          <cell r="D30">
            <v>-4100087.24</v>
          </cell>
          <cell r="E30">
            <v>-1991305.6900000002</v>
          </cell>
          <cell r="F30">
            <v>-2791044.0199999996</v>
          </cell>
          <cell r="G30">
            <v>-1819429.7799999998</v>
          </cell>
        </row>
        <row r="31">
          <cell r="C31" t="str">
            <v>(-) Depreciation Expenses</v>
          </cell>
          <cell r="D31">
            <v>-37543574.530000001</v>
          </cell>
          <cell r="E31">
            <v>-54548627.669999994</v>
          </cell>
          <cell r="F31">
            <v>-37711965.449999996</v>
          </cell>
          <cell r="G31">
            <v>-34936139.849999994</v>
          </cell>
        </row>
        <row r="32">
          <cell r="C32" t="str">
            <v>(-) Amortization Expenses</v>
          </cell>
          <cell r="D32">
            <v>-2782893.09</v>
          </cell>
          <cell r="E32">
            <v>-2264368.0299999998</v>
          </cell>
          <cell r="F32">
            <v>-2077479.99</v>
          </cell>
          <cell r="G32">
            <v>-2229597.6800000002</v>
          </cell>
        </row>
        <row r="33">
          <cell r="C33" t="str">
            <v>(-) Business Development &amp; Monitoring Fees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C34" t="str">
            <v>Total SG&amp;A</v>
          </cell>
          <cell r="D34">
            <v>-280249895.74999994</v>
          </cell>
          <cell r="E34">
            <v>-302299968.21999997</v>
          </cell>
          <cell r="F34">
            <v>-308699311.26999992</v>
          </cell>
          <cell r="G34">
            <v>-364317548.19</v>
          </cell>
        </row>
        <row r="36">
          <cell r="C36" t="str">
            <v>Operating Profit</v>
          </cell>
          <cell r="D36">
            <v>352775439.55000001</v>
          </cell>
          <cell r="E36">
            <v>554344428.82999992</v>
          </cell>
          <cell r="F36">
            <v>463230882.87999994</v>
          </cell>
          <cell r="G36">
            <v>290458581.85999995</v>
          </cell>
        </row>
        <row r="37">
          <cell r="C37" t="str">
            <v>Operating Profit margin %</v>
          </cell>
          <cell r="D37">
            <v>0.1848205555595423</v>
          </cell>
          <cell r="E37">
            <v>0.24302192654634489</v>
          </cell>
          <cell r="F37">
            <v>0.19950071382483381</v>
          </cell>
          <cell r="G37">
            <v>0.14342072783451687</v>
          </cell>
        </row>
        <row r="39">
          <cell r="C39" t="str">
            <v>(+) Financial products</v>
          </cell>
          <cell r="D39">
            <v>18242261.43</v>
          </cell>
          <cell r="E39">
            <v>38408071.659999996</v>
          </cell>
          <cell r="F39">
            <v>61593771.049999997</v>
          </cell>
          <cell r="G39">
            <v>58963968.549999997</v>
          </cell>
        </row>
        <row r="40">
          <cell r="C40" t="str">
            <v>(-) Financial expenses</v>
          </cell>
          <cell r="D40">
            <v>-1237382.43</v>
          </cell>
          <cell r="E40">
            <v>-1232879.8899999999</v>
          </cell>
          <cell r="F40">
            <v>-102924.72</v>
          </cell>
          <cell r="G40">
            <v>-88734.13</v>
          </cell>
        </row>
        <row r="41">
          <cell r="C41" t="str">
            <v>(+/-) Exchange gain or loss</v>
          </cell>
          <cell r="D41">
            <v>-440394.80000000075</v>
          </cell>
          <cell r="E41">
            <v>-21006793.380000003</v>
          </cell>
          <cell r="F41">
            <v>23952209.470000003</v>
          </cell>
          <cell r="G41">
            <v>-27676786.289999999</v>
          </cell>
        </row>
        <row r="42">
          <cell r="C42" t="str">
            <v>(-) Revolving Credit Facility Interests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C43" t="str">
            <v>(-) Revolving Credit Facility Fees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C44" t="str">
            <v>Financial Gain (Loss), Net</v>
          </cell>
          <cell r="D44">
            <v>16564484.199999999</v>
          </cell>
          <cell r="E44">
            <v>16168398.389999993</v>
          </cell>
          <cell r="F44">
            <v>85443055.799999997</v>
          </cell>
          <cell r="G44">
            <v>31198448.129999995</v>
          </cell>
        </row>
        <row r="46">
          <cell r="C46" t="str">
            <v>(+) Other Income</v>
          </cell>
          <cell r="D46">
            <v>-8162677.6799999997</v>
          </cell>
          <cell r="E46">
            <v>2670423</v>
          </cell>
          <cell r="F46">
            <v>0</v>
          </cell>
          <cell r="G46">
            <v>0</v>
          </cell>
        </row>
        <row r="47">
          <cell r="C47" t="str">
            <v>(+) Other Products</v>
          </cell>
          <cell r="D47">
            <v>25571039.809999999</v>
          </cell>
          <cell r="E47">
            <v>36290168.560000002</v>
          </cell>
          <cell r="F47">
            <v>38332547.609999999</v>
          </cell>
          <cell r="G47">
            <v>26339205.66</v>
          </cell>
        </row>
        <row r="48">
          <cell r="C48" t="str">
            <v>(-) Other Expenses</v>
          </cell>
          <cell r="D48">
            <v>-985500.73</v>
          </cell>
          <cell r="E48">
            <v>-1819173.12</v>
          </cell>
          <cell r="F48">
            <v>-2340528.17</v>
          </cell>
          <cell r="G48">
            <v>-10075.030000000001</v>
          </cell>
        </row>
        <row r="49">
          <cell r="C49" t="str">
            <v>Other Income (Loss), Net</v>
          </cell>
          <cell r="D49">
            <v>16422861.399999999</v>
          </cell>
          <cell r="E49">
            <v>37141418.440000005</v>
          </cell>
          <cell r="F49">
            <v>35992019.439999998</v>
          </cell>
          <cell r="G49">
            <v>26329130.629999999</v>
          </cell>
        </row>
        <row r="51">
          <cell r="C51" t="str">
            <v>EBT</v>
          </cell>
          <cell r="D51">
            <v>385762785.14999998</v>
          </cell>
          <cell r="E51">
            <v>607654245.65999997</v>
          </cell>
          <cell r="F51">
            <v>584665958.11999989</v>
          </cell>
          <cell r="G51">
            <v>347986160.61999995</v>
          </cell>
        </row>
        <row r="53">
          <cell r="C53" t="str">
            <v>(-) Taxes</v>
          </cell>
          <cell r="D53">
            <v>-107898526</v>
          </cell>
          <cell r="E53">
            <v>-176256109.25</v>
          </cell>
          <cell r="F53">
            <v>-191586209</v>
          </cell>
          <cell r="G53">
            <v>-104921945</v>
          </cell>
        </row>
        <row r="54">
          <cell r="C54" t="str">
            <v>(-) PTU</v>
          </cell>
          <cell r="D54">
            <v>-903456</v>
          </cell>
          <cell r="E54">
            <v>-630444.60000000009</v>
          </cell>
          <cell r="F54">
            <v>-666000.9</v>
          </cell>
          <cell r="G54">
            <v>-693900</v>
          </cell>
        </row>
        <row r="55">
          <cell r="C55" t="str">
            <v>Net Income</v>
          </cell>
          <cell r="D55">
            <v>276960803.14999998</v>
          </cell>
          <cell r="E55">
            <v>430767691.80999994</v>
          </cell>
          <cell r="F55">
            <v>392413748.21999991</v>
          </cell>
          <cell r="G55">
            <v>242370315.61999995</v>
          </cell>
        </row>
        <row r="56">
          <cell r="C56" t="str">
            <v>Net income margin %</v>
          </cell>
          <cell r="D56">
            <v>0.15684340563087604</v>
          </cell>
          <cell r="E56">
            <v>0.20693350750299555</v>
          </cell>
          <cell r="F56">
            <v>0.19448262625845825</v>
          </cell>
          <cell r="G56">
            <v>0.13799995285857827</v>
          </cell>
        </row>
        <row r="58">
          <cell r="C58" t="str">
            <v>EBITDA</v>
          </cell>
          <cell r="D58">
            <v>393101907.17000002</v>
          </cell>
          <cell r="E58">
            <v>611157424.52999997</v>
          </cell>
          <cell r="F58">
            <v>503020328.31999993</v>
          </cell>
          <cell r="G58">
            <v>327624319.38999993</v>
          </cell>
        </row>
        <row r="59">
          <cell r="C59" t="str">
            <v>EBITDA margin %</v>
          </cell>
          <cell r="D59">
            <v>0.22261432368515754</v>
          </cell>
          <cell r="E59">
            <v>0.29358968162884469</v>
          </cell>
          <cell r="F59">
            <v>0.24929991611359026</v>
          </cell>
          <cell r="G59">
            <v>0.18654157591653919</v>
          </cell>
        </row>
        <row r="62">
          <cell r="C62" t="str">
            <v>Balance Sheet</v>
          </cell>
        </row>
        <row r="64">
          <cell r="C64" t="str">
            <v>Current Assets</v>
          </cell>
        </row>
        <row r="65">
          <cell r="C65" t="str">
            <v>Cash &amp; Equivalents</v>
          </cell>
          <cell r="D65">
            <v>446780025.50999999</v>
          </cell>
          <cell r="E65">
            <v>524300526.59999996</v>
          </cell>
          <cell r="F65">
            <v>716886067.81999993</v>
          </cell>
          <cell r="G65">
            <v>635797180.64999998</v>
          </cell>
        </row>
        <row r="66">
          <cell r="C66" t="str">
            <v>Accounts Receivable</v>
          </cell>
          <cell r="D66">
            <v>216501966.88</v>
          </cell>
          <cell r="E66">
            <v>400578378.36999995</v>
          </cell>
          <cell r="F66">
            <v>408924322.45999998</v>
          </cell>
          <cell r="G66">
            <v>427531607.69999999</v>
          </cell>
        </row>
        <row r="67">
          <cell r="C67" t="str">
            <v>Other Debtors</v>
          </cell>
          <cell r="D67">
            <v>453533.27</v>
          </cell>
          <cell r="E67">
            <v>158816.34</v>
          </cell>
          <cell r="F67">
            <v>18307.900000000001</v>
          </cell>
          <cell r="G67">
            <v>228410.73</v>
          </cell>
        </row>
        <row r="68">
          <cell r="C68" t="str">
            <v>Inventory</v>
          </cell>
          <cell r="D68">
            <v>131081381.75</v>
          </cell>
          <cell r="E68">
            <v>112084379.46999998</v>
          </cell>
          <cell r="F68">
            <v>87747684.909999996</v>
          </cell>
          <cell r="G68">
            <v>130312585.38</v>
          </cell>
        </row>
        <row r="69">
          <cell r="C69" t="str">
            <v>VAT Not Paid</v>
          </cell>
          <cell r="D69">
            <v>11052983.74</v>
          </cell>
          <cell r="E69">
            <v>37417.46</v>
          </cell>
          <cell r="F69">
            <v>16862895.93</v>
          </cell>
          <cell r="G69">
            <v>15921748.280000001</v>
          </cell>
        </row>
        <row r="70">
          <cell r="C70" t="str">
            <v>Supplier Advances</v>
          </cell>
          <cell r="D70">
            <v>175283.74</v>
          </cell>
          <cell r="E70">
            <v>996005.44</v>
          </cell>
          <cell r="F70">
            <v>27560239</v>
          </cell>
          <cell r="G70">
            <v>52348996.219999999</v>
          </cell>
        </row>
        <row r="71">
          <cell r="C71" t="str">
            <v>Provisional Tax Payments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C72" t="str">
            <v>Total Current Assets</v>
          </cell>
          <cell r="D72">
            <v>806045174.88999999</v>
          </cell>
          <cell r="E72">
            <v>1038155523.6800001</v>
          </cell>
          <cell r="F72">
            <v>1257999518.0200002</v>
          </cell>
          <cell r="G72">
            <v>1262140528.96</v>
          </cell>
        </row>
        <row r="74">
          <cell r="C74" t="str">
            <v>Non-current Assets</v>
          </cell>
        </row>
        <row r="75">
          <cell r="C75" t="str">
            <v>Current PP&amp;E</v>
          </cell>
          <cell r="D75">
            <v>160410116.28999996</v>
          </cell>
          <cell r="E75">
            <v>268139834.91999996</v>
          </cell>
          <cell r="F75">
            <v>280895322.69</v>
          </cell>
          <cell r="G75">
            <v>288097619.43000001</v>
          </cell>
        </row>
        <row r="76">
          <cell r="C76" t="str">
            <v>Current PP&amp;E - D&amp;A</v>
          </cell>
          <cell r="D76">
            <v>-130688175.00999999</v>
          </cell>
          <cell r="E76">
            <v>-162804167.65999997</v>
          </cell>
          <cell r="F76">
            <v>-201838832.02000001</v>
          </cell>
          <cell r="G76">
            <v>-236774971.21000004</v>
          </cell>
        </row>
        <row r="77">
          <cell r="C77" t="str">
            <v>Maintenance Capex</v>
          </cell>
          <cell r="D77">
            <v>30621849.07</v>
          </cell>
          <cell r="E77">
            <v>33284121.489999998</v>
          </cell>
          <cell r="F77">
            <v>36176666.509999998</v>
          </cell>
          <cell r="G77">
            <v>39764947.049999997</v>
          </cell>
        </row>
        <row r="78">
          <cell r="C78" t="str">
            <v>Maintenance Capex - D&amp;A</v>
          </cell>
          <cell r="D78">
            <v>-26164379.550000001</v>
          </cell>
          <cell r="E78">
            <v>-28403339.579999998</v>
          </cell>
          <cell r="F78">
            <v>-30461763.66</v>
          </cell>
          <cell r="G78">
            <v>-32691362</v>
          </cell>
        </row>
        <row r="79">
          <cell r="C79" t="str">
            <v>Right-of-use Asset</v>
          </cell>
          <cell r="D79">
            <v>78429828.180000007</v>
          </cell>
          <cell r="E79">
            <v>63831030.18</v>
          </cell>
          <cell r="F79">
            <v>71007885.180000007</v>
          </cell>
          <cell r="G79">
            <v>71007885.180000007</v>
          </cell>
        </row>
        <row r="80">
          <cell r="C80" t="str">
            <v>Intangible Assets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C81" t="str">
            <v>Other Assets</v>
          </cell>
          <cell r="D81">
            <v>31253098.219999999</v>
          </cell>
          <cell r="E81">
            <v>28224578.629999999</v>
          </cell>
          <cell r="F81">
            <v>11410256.76</v>
          </cell>
          <cell r="G81">
            <v>11516699.5</v>
          </cell>
        </row>
        <row r="82">
          <cell r="C82" t="str">
            <v>Investment in Subsidiary</v>
          </cell>
          <cell r="D82">
            <v>141856922.31999999</v>
          </cell>
          <cell r="E82">
            <v>244527345.31999999</v>
          </cell>
          <cell r="F82">
            <v>244057272.31999999</v>
          </cell>
          <cell r="G82">
            <v>344067072.31999999</v>
          </cell>
        </row>
        <row r="83">
          <cell r="C83" t="str">
            <v>GoodWill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C84" t="str">
            <v>Total Non-current Assets</v>
          </cell>
          <cell r="D84">
            <v>285719259.51999998</v>
          </cell>
          <cell r="E84">
            <v>446799403.29999995</v>
          </cell>
          <cell r="F84">
            <v>411246807.77999997</v>
          </cell>
          <cell r="G84">
            <v>484987890.26999998</v>
          </cell>
        </row>
        <row r="86">
          <cell r="C86" t="str">
            <v>Total Assets</v>
          </cell>
          <cell r="D86">
            <v>1091764434.4099998</v>
          </cell>
          <cell r="E86">
            <v>1484954926.98</v>
          </cell>
          <cell r="F86">
            <v>1669246325.8000002</v>
          </cell>
          <cell r="G86">
            <v>1747128419.23</v>
          </cell>
        </row>
        <row r="88">
          <cell r="C88" t="str">
            <v>Current Liabilities</v>
          </cell>
        </row>
        <row r="89">
          <cell r="C89" t="str">
            <v>Accounts Payable</v>
          </cell>
          <cell r="D89">
            <v>-153051916.72</v>
          </cell>
          <cell r="E89">
            <v>-192452152.19999999</v>
          </cell>
          <cell r="F89">
            <v>-164362017.60999998</v>
          </cell>
          <cell r="G89">
            <v>-172768807.91999999</v>
          </cell>
        </row>
        <row r="90">
          <cell r="C90" t="str">
            <v>Tax Receivable</v>
          </cell>
          <cell r="D90">
            <v>23324394.719999999</v>
          </cell>
          <cell r="E90">
            <v>29083730</v>
          </cell>
          <cell r="F90">
            <v>24019480.100000001</v>
          </cell>
          <cell r="G90">
            <v>25189823.919999998</v>
          </cell>
        </row>
        <row r="91">
          <cell r="C91" t="str">
            <v>Other Creditors</v>
          </cell>
          <cell r="D91">
            <v>-31458212.68</v>
          </cell>
          <cell r="E91">
            <v>-26188174.229999997</v>
          </cell>
          <cell r="F91">
            <v>-25749858.300000001</v>
          </cell>
          <cell r="G91">
            <v>-22548609.140000001</v>
          </cell>
        </row>
        <row r="92">
          <cell r="C92" t="str">
            <v>PTU Payable</v>
          </cell>
          <cell r="D92">
            <v>-903456</v>
          </cell>
          <cell r="E92">
            <v>-602100.9</v>
          </cell>
          <cell r="F92">
            <v>-666000.9</v>
          </cell>
          <cell r="G92">
            <v>-693900</v>
          </cell>
        </row>
        <row r="93">
          <cell r="C93" t="str">
            <v>Wages Payable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C94" t="str">
            <v>Taxes Payable</v>
          </cell>
          <cell r="D94">
            <v>-7117211.4100000001</v>
          </cell>
          <cell r="E94">
            <v>-46245422.729999997</v>
          </cell>
          <cell r="F94">
            <v>-11346468.67</v>
          </cell>
          <cell r="G94">
            <v>34595129.149999991</v>
          </cell>
        </row>
        <row r="95">
          <cell r="C95" t="str">
            <v>VAT Payable</v>
          </cell>
          <cell r="D95">
            <v>-44225844.490000002</v>
          </cell>
          <cell r="E95">
            <v>-65127811.070000008</v>
          </cell>
          <cell r="F95">
            <v>-57448220.390000001</v>
          </cell>
          <cell r="G95">
            <v>-60238499.589999996</v>
          </cell>
        </row>
        <row r="96">
          <cell r="C96" t="str">
            <v>Labor Liabilities</v>
          </cell>
          <cell r="D96">
            <v>-74677.209999999992</v>
          </cell>
          <cell r="E96">
            <v>-46475.78</v>
          </cell>
          <cell r="F96">
            <v>-52249.06</v>
          </cell>
          <cell r="G96">
            <v>-52249.06</v>
          </cell>
        </row>
        <row r="97">
          <cell r="C97" t="str">
            <v>Other ST Liabilities</v>
          </cell>
          <cell r="D97">
            <v>-105036.8</v>
          </cell>
          <cell r="E97">
            <v>-832991.44</v>
          </cell>
          <cell r="F97">
            <v>-945171.12</v>
          </cell>
          <cell r="G97">
            <v>-945171.12</v>
          </cell>
        </row>
        <row r="98">
          <cell r="C98" t="str">
            <v>Revolving Credit Facility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C99" t="str">
            <v>Total Current Liabilities</v>
          </cell>
          <cell r="D99">
            <v>-213611960.59000003</v>
          </cell>
          <cell r="E99">
            <v>-302411398.34999996</v>
          </cell>
          <cell r="F99">
            <v>-236550505.94999999</v>
          </cell>
          <cell r="G99">
            <v>-197462283.76000002</v>
          </cell>
        </row>
        <row r="101">
          <cell r="C101" t="str">
            <v>Non-current Liabilities</v>
          </cell>
        </row>
        <row r="102">
          <cell r="C102" t="str">
            <v>Lease Liability</v>
          </cell>
          <cell r="D102">
            <v>-62395550.479999997</v>
          </cell>
          <cell r="E102">
            <v>-41018913.479999997</v>
          </cell>
          <cell r="F102">
            <v>-47757456.479999997</v>
          </cell>
          <cell r="G102">
            <v>-47757456.479999997</v>
          </cell>
        </row>
        <row r="103">
          <cell r="C103" t="str">
            <v>Long Term Debt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C104" t="str">
            <v>Acquisition Related Debt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C105" t="str">
            <v>Total Non-current Liabilities</v>
          </cell>
          <cell r="D105">
            <v>-62395550.479999997</v>
          </cell>
          <cell r="E105">
            <v>-41018913.479999997</v>
          </cell>
          <cell r="F105">
            <v>-47757456.479999997</v>
          </cell>
          <cell r="G105">
            <v>-47757456.479999997</v>
          </cell>
        </row>
        <row r="107">
          <cell r="C107" t="str">
            <v>Total Liabilities</v>
          </cell>
          <cell r="D107">
            <v>-276007511.07000005</v>
          </cell>
          <cell r="E107">
            <v>-343430311.82999998</v>
          </cell>
          <cell r="F107">
            <v>-284307962.43000001</v>
          </cell>
          <cell r="G107">
            <v>-245219740.24000001</v>
          </cell>
        </row>
        <row r="109">
          <cell r="C109" t="str">
            <v>Shareholder's Equity</v>
          </cell>
        </row>
        <row r="110">
          <cell r="C110" t="str">
            <v>Equity</v>
          </cell>
          <cell r="D110">
            <v>-179000</v>
          </cell>
          <cell r="E110">
            <v>-179000</v>
          </cell>
          <cell r="F110">
            <v>-179000</v>
          </cell>
          <cell r="G110">
            <v>-179000</v>
          </cell>
        </row>
        <row r="111">
          <cell r="C111" t="str">
            <v>New Equity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C112" t="str">
            <v>Reserves</v>
          </cell>
          <cell r="D112">
            <v>-47400</v>
          </cell>
          <cell r="E112">
            <v>-47400</v>
          </cell>
          <cell r="F112">
            <v>-47400</v>
          </cell>
          <cell r="G112">
            <v>-47400</v>
          </cell>
        </row>
        <row r="113">
          <cell r="C113" t="str">
            <v>Subsidiary Carve-Out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C114" t="str">
            <v>Retained Earnings</v>
          </cell>
          <cell r="D114">
            <v>-815530523.34000015</v>
          </cell>
          <cell r="E114">
            <v>-1141298215.1500001</v>
          </cell>
          <cell r="F114">
            <v>-992298215.1500001</v>
          </cell>
          <cell r="G114">
            <v>-1259311963.3700001</v>
          </cell>
        </row>
        <row r="115">
          <cell r="C115" t="str">
            <v>Net Income</v>
          </cell>
          <cell r="D115">
            <v>0</v>
          </cell>
          <cell r="E115">
            <v>0</v>
          </cell>
          <cell r="F115">
            <v>-392413748.22000003</v>
          </cell>
          <cell r="G115">
            <v>-242370315.62000006</v>
          </cell>
        </row>
        <row r="116">
          <cell r="C116" t="str">
            <v>Total Shareholder's Equity</v>
          </cell>
          <cell r="D116">
            <v>-815756923.34000015</v>
          </cell>
          <cell r="E116">
            <v>-1141524615.1500001</v>
          </cell>
          <cell r="F116">
            <v>-1384938363.3700001</v>
          </cell>
          <cell r="G116">
            <v>-1501908678.9900002</v>
          </cell>
        </row>
        <row r="118">
          <cell r="C118" t="str">
            <v>Total Equity + Liabilities</v>
          </cell>
          <cell r="D118">
            <v>-1091764434.4100003</v>
          </cell>
          <cell r="E118">
            <v>-1484954926.98</v>
          </cell>
          <cell r="F118">
            <v>-1669246325.8000002</v>
          </cell>
          <cell r="G118">
            <v>-1747128419.2300003</v>
          </cell>
        </row>
        <row r="119">
          <cell r="C119" t="str">
            <v>CHECK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</row>
        <row r="121">
          <cell r="C121" t="str">
            <v>Cash Flow Statement</v>
          </cell>
        </row>
        <row r="123">
          <cell r="C123" t="str">
            <v>Net Income</v>
          </cell>
          <cell r="E123">
            <v>428097268.80999988</v>
          </cell>
          <cell r="F123">
            <v>392413748.22000003</v>
          </cell>
          <cell r="G123">
            <v>242370315.62000006</v>
          </cell>
        </row>
        <row r="124">
          <cell r="C124" t="str">
            <v>D&amp;A</v>
          </cell>
          <cell r="E124">
            <v>32115992.649999976</v>
          </cell>
          <cell r="F124">
            <v>39034664.360000044</v>
          </cell>
          <cell r="G124">
            <v>34936139.190000027</v>
          </cell>
        </row>
        <row r="125">
          <cell r="C125" t="str">
            <v>Maintenance Capex D&amp;A</v>
          </cell>
          <cell r="E125">
            <v>2238960.0299999975</v>
          </cell>
          <cell r="F125">
            <v>2058424.0800000019</v>
          </cell>
          <cell r="G125">
            <v>2229598.34</v>
          </cell>
        </row>
        <row r="126">
          <cell r="C126" t="str">
            <v>Interests</v>
          </cell>
          <cell r="E126">
            <v>1232879.8899999999</v>
          </cell>
          <cell r="F126">
            <v>102924.72</v>
          </cell>
          <cell r="G126">
            <v>88734.13</v>
          </cell>
        </row>
        <row r="127">
          <cell r="C127" t="str">
            <v>Decrease (increase) in accounts receivable</v>
          </cell>
          <cell r="E127">
            <v>-183781694.55999994</v>
          </cell>
          <cell r="F127">
            <v>-8205435.6500000358</v>
          </cell>
          <cell r="G127">
            <v>-18817388.070000052</v>
          </cell>
        </row>
        <row r="128">
          <cell r="C128" t="str">
            <v>Decrease (increase) in other receivables</v>
          </cell>
          <cell r="E128">
            <v>10194844.58</v>
          </cell>
          <cell r="F128">
            <v>-43389712.030000001</v>
          </cell>
          <cell r="G128">
            <v>-23847609.570000004</v>
          </cell>
        </row>
        <row r="129">
          <cell r="C129" t="str">
            <v>Decrease (increase) in inventory</v>
          </cell>
          <cell r="E129">
            <v>18997002.280000016</v>
          </cell>
          <cell r="F129">
            <v>24336694.559999987</v>
          </cell>
          <cell r="G129">
            <v>-42564900.469999999</v>
          </cell>
        </row>
        <row r="130">
          <cell r="C130" t="str">
            <v>Increase (decrease) in accounts payable and other</v>
          </cell>
          <cell r="E130">
            <v>28370861.74999997</v>
          </cell>
          <cell r="F130">
            <v>-23464200.619999975</v>
          </cell>
          <cell r="G130">
            <v>4035197.3299999833</v>
          </cell>
        </row>
        <row r="131">
          <cell r="C131" t="str">
            <v>Taxes Payables and other</v>
          </cell>
          <cell r="E131">
            <v>60428576.010000005</v>
          </cell>
          <cell r="F131">
            <v>-42396691.779999986</v>
          </cell>
          <cell r="G131">
            <v>-43123419.520000011</v>
          </cell>
        </row>
        <row r="132">
          <cell r="C132" t="str">
            <v>Total CFO</v>
          </cell>
          <cell r="E132">
            <v>397894691.43999982</v>
          </cell>
          <cell r="F132">
            <v>340490415.86000013</v>
          </cell>
          <cell r="G132">
            <v>155306666.97999996</v>
          </cell>
        </row>
        <row r="134">
          <cell r="C134" t="str">
            <v>PP&amp;E</v>
          </cell>
          <cell r="E134">
            <v>-107729718.63</v>
          </cell>
          <cell r="F134">
            <v>-12755487.770000041</v>
          </cell>
          <cell r="G134">
            <v>-7202296.7400000095</v>
          </cell>
        </row>
        <row r="135">
          <cell r="C135" t="str">
            <v>Maintenance Capex</v>
          </cell>
          <cell r="E135">
            <v>-2662272.4199999981</v>
          </cell>
          <cell r="F135">
            <v>-2892545.0199999996</v>
          </cell>
          <cell r="G135">
            <v>-3588280.5399999991</v>
          </cell>
        </row>
        <row r="136">
          <cell r="C136" t="str">
            <v>Right-of-use Asset</v>
          </cell>
          <cell r="E136">
            <v>14598798.000000007</v>
          </cell>
          <cell r="F136">
            <v>-7176855.0000000075</v>
          </cell>
          <cell r="G136">
            <v>0</v>
          </cell>
        </row>
        <row r="137">
          <cell r="C137" t="str">
            <v>Intangibles &amp; other assets</v>
          </cell>
          <cell r="E137">
            <v>3028519.59</v>
          </cell>
          <cell r="F137">
            <v>16814321.869999997</v>
          </cell>
          <cell r="G137">
            <v>-106442.74000000022</v>
          </cell>
        </row>
        <row r="138">
          <cell r="C138" t="str">
            <v>Investment in Subsidiary</v>
          </cell>
          <cell r="E138">
            <v>-102670423</v>
          </cell>
          <cell r="F138">
            <v>470073</v>
          </cell>
          <cell r="G138">
            <v>-100009800</v>
          </cell>
        </row>
        <row r="139">
          <cell r="C139" t="str">
            <v>Non-cash adjustment: Susidiary Carve-out</v>
          </cell>
          <cell r="E139">
            <v>0</v>
          </cell>
          <cell r="F139">
            <v>0</v>
          </cell>
          <cell r="G139">
            <v>0</v>
          </cell>
        </row>
        <row r="140">
          <cell r="C140" t="str">
            <v>Total CFI</v>
          </cell>
          <cell r="E140">
            <v>-195435096.45999998</v>
          </cell>
          <cell r="F140">
            <v>-5540492.9200000502</v>
          </cell>
          <cell r="G140">
            <v>-110906820.02000001</v>
          </cell>
        </row>
        <row r="142">
          <cell r="C142" t="str">
            <v>Lease Liability</v>
          </cell>
          <cell r="E142">
            <v>-21376637</v>
          </cell>
          <cell r="F142">
            <v>6738543</v>
          </cell>
          <cell r="G142">
            <v>0</v>
          </cell>
        </row>
        <row r="143">
          <cell r="C143" t="str">
            <v>Financial Debt</v>
          </cell>
          <cell r="E143">
            <v>0</v>
          </cell>
          <cell r="F143">
            <v>0</v>
          </cell>
          <cell r="G143">
            <v>0</v>
          </cell>
        </row>
        <row r="144">
          <cell r="C144" t="str">
            <v>Acquisition Financing</v>
          </cell>
          <cell r="E144">
            <v>0</v>
          </cell>
          <cell r="F144">
            <v>0</v>
          </cell>
          <cell r="G144">
            <v>0</v>
          </cell>
        </row>
        <row r="145">
          <cell r="C145" t="str">
            <v>Acquisition Financing Payout</v>
          </cell>
          <cell r="E145">
            <v>0</v>
          </cell>
          <cell r="F145">
            <v>0</v>
          </cell>
          <cell r="G145">
            <v>0</v>
          </cell>
        </row>
        <row r="146">
          <cell r="C146" t="str">
            <v>Changes in Retained Earnings</v>
          </cell>
          <cell r="E146">
            <v>0</v>
          </cell>
          <cell r="F146">
            <v>0</v>
          </cell>
          <cell r="G146">
            <v>0</v>
          </cell>
        </row>
        <row r="147">
          <cell r="C147" t="str">
            <v>Equity Injection</v>
          </cell>
          <cell r="E147">
            <v>2670423.0000002086</v>
          </cell>
          <cell r="F147">
            <v>1.6205012798309326E-7</v>
          </cell>
          <cell r="G147">
            <v>3.0174851417541504E-7</v>
          </cell>
        </row>
        <row r="148">
          <cell r="C148" t="str">
            <v>Revolving Credit Facility</v>
          </cell>
          <cell r="E148">
            <v>0</v>
          </cell>
          <cell r="F148">
            <v>0</v>
          </cell>
          <cell r="G148">
            <v>0</v>
          </cell>
        </row>
        <row r="149">
          <cell r="C149" t="str">
            <v>Repayment Revolving Credit Facililty</v>
          </cell>
          <cell r="E149">
            <v>0</v>
          </cell>
          <cell r="F149">
            <v>0</v>
          </cell>
          <cell r="G149">
            <v>0</v>
          </cell>
        </row>
        <row r="150">
          <cell r="C150" t="str">
            <v>Interests</v>
          </cell>
          <cell r="E150">
            <v>-1232879.8899999999</v>
          </cell>
          <cell r="F150">
            <v>-102924.72</v>
          </cell>
          <cell r="G150">
            <v>-88734.13</v>
          </cell>
        </row>
        <row r="151">
          <cell r="C151" t="str">
            <v>Dividend Payments</v>
          </cell>
          <cell r="E151">
            <v>-105000000.00000021</v>
          </cell>
          <cell r="F151">
            <v>-149000000.00000012</v>
          </cell>
          <cell r="G151">
            <v>-125400000.00000043</v>
          </cell>
        </row>
        <row r="152">
          <cell r="C152" t="str">
            <v>Total CFF</v>
          </cell>
          <cell r="E152">
            <v>-124939093.89</v>
          </cell>
          <cell r="F152">
            <v>-142364381.71999997</v>
          </cell>
          <cell r="G152">
            <v>-125488734.13000013</v>
          </cell>
        </row>
        <row r="154">
          <cell r="C154" t="str">
            <v>Net Change</v>
          </cell>
          <cell r="E154">
            <v>77520501.08999984</v>
          </cell>
          <cell r="F154">
            <v>192585541.22000009</v>
          </cell>
          <cell r="G154">
            <v>-81088887.170000181</v>
          </cell>
        </row>
        <row r="156">
          <cell r="C156" t="str">
            <v>Initial Cash Balance</v>
          </cell>
          <cell r="E156">
            <v>446780025.50999999</v>
          </cell>
          <cell r="F156">
            <v>524300526.59999996</v>
          </cell>
          <cell r="G156">
            <v>716886067.81999993</v>
          </cell>
        </row>
        <row r="157">
          <cell r="C157" t="str">
            <v>Final Cash Balance</v>
          </cell>
          <cell r="E157">
            <v>524300526.59999985</v>
          </cell>
          <cell r="F157">
            <v>716886067.82000005</v>
          </cell>
          <cell r="G157">
            <v>635797180.64999974</v>
          </cell>
        </row>
        <row r="158">
          <cell r="C158" t="str">
            <v>CHECK</v>
          </cell>
          <cell r="E158">
            <v>0</v>
          </cell>
          <cell r="F158">
            <v>0</v>
          </cell>
          <cell r="G158">
            <v>0</v>
          </cell>
        </row>
      </sheetData>
      <sheetData sheetId="2">
        <row r="9">
          <cell r="C9" t="str">
            <v>Profit &amp; Loss</v>
          </cell>
        </row>
        <row r="11">
          <cell r="C11" t="str">
            <v>Revenues</v>
          </cell>
        </row>
        <row r="12">
          <cell r="C12" t="str">
            <v>Sales</v>
          </cell>
          <cell r="D12">
            <v>171552663.65000001</v>
          </cell>
          <cell r="E12">
            <v>251534914.69</v>
          </cell>
          <cell r="F12">
            <v>278162619.84999996</v>
          </cell>
          <cell r="G12">
            <v>275417091.72000003</v>
          </cell>
        </row>
        <row r="13">
          <cell r="C13" t="str">
            <v>(-) Returns and Discounts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C14" t="str">
            <v>Total Revenue</v>
          </cell>
          <cell r="D14">
            <v>171552663.65000001</v>
          </cell>
          <cell r="E14">
            <v>251534914.69</v>
          </cell>
          <cell r="F14">
            <v>278162619.84999996</v>
          </cell>
          <cell r="G14">
            <v>275417091.72000003</v>
          </cell>
        </row>
        <row r="15">
          <cell r="C15" t="str">
            <v>growth %</v>
          </cell>
          <cell r="D15" t="str">
            <v>NA</v>
          </cell>
          <cell r="E15">
            <v>0.46622564370774766</v>
          </cell>
          <cell r="F15">
            <v>0.10586087101592567</v>
          </cell>
          <cell r="G15">
            <v>-9.8702267453494308E-3</v>
          </cell>
        </row>
        <row r="17">
          <cell r="C17" t="str">
            <v>COGS</v>
          </cell>
        </row>
        <row r="18">
          <cell r="C18" t="str">
            <v>(-) Cost of Goods Sold</v>
          </cell>
          <cell r="D18">
            <v>-139309.45000000001</v>
          </cell>
          <cell r="E18">
            <v>-136754.82999999996</v>
          </cell>
          <cell r="F18">
            <v>0</v>
          </cell>
          <cell r="G18">
            <v>0</v>
          </cell>
        </row>
        <row r="19">
          <cell r="C19" t="str">
            <v>(-) Manufacturing COGS</v>
          </cell>
          <cell r="D19">
            <v>-78765651.680000007</v>
          </cell>
          <cell r="E19">
            <v>-149154472.03999996</v>
          </cell>
          <cell r="F19">
            <v>-169724305.14000002</v>
          </cell>
          <cell r="G19">
            <v>-137021281.84999999</v>
          </cell>
        </row>
        <row r="20">
          <cell r="C20" t="str">
            <v>(-) Labour COGS</v>
          </cell>
          <cell r="D20">
            <v>-36442614.110000014</v>
          </cell>
          <cell r="E20">
            <v>-52271544.069999993</v>
          </cell>
          <cell r="F20">
            <v>-56105757.839999996</v>
          </cell>
          <cell r="G20">
            <v>-56931664.290000007</v>
          </cell>
        </row>
        <row r="21">
          <cell r="C21" t="str">
            <v>(-) Depreciation COGS</v>
          </cell>
          <cell r="D21">
            <v>-75809</v>
          </cell>
          <cell r="E21">
            <v>-107093.26999999999</v>
          </cell>
          <cell r="F21">
            <v>-107093.28</v>
          </cell>
          <cell r="G21">
            <v>-131232.06</v>
          </cell>
        </row>
        <row r="22">
          <cell r="C22" t="str">
            <v>(-) Amortization COGS</v>
          </cell>
          <cell r="D22">
            <v>-72407.490000000005</v>
          </cell>
          <cell r="E22">
            <v>-788723.5</v>
          </cell>
          <cell r="F22">
            <v>-1657542.15</v>
          </cell>
          <cell r="G22">
            <v>-1964129.57</v>
          </cell>
        </row>
        <row r="23">
          <cell r="C23" t="str">
            <v>Total COGS</v>
          </cell>
          <cell r="D23">
            <v>-115495791.73000002</v>
          </cell>
          <cell r="E23">
            <v>-202458587.70999998</v>
          </cell>
          <cell r="F23">
            <v>-227594698.41000003</v>
          </cell>
          <cell r="G23">
            <v>-196048307.76999998</v>
          </cell>
        </row>
        <row r="25">
          <cell r="C25" t="str">
            <v>Gross Profit</v>
          </cell>
          <cell r="D25">
            <v>56056871.919999987</v>
          </cell>
          <cell r="E25">
            <v>49076326.980000019</v>
          </cell>
          <cell r="F25">
            <v>50567921.439999938</v>
          </cell>
          <cell r="G25">
            <v>79368783.950000048</v>
          </cell>
        </row>
        <row r="26">
          <cell r="C26" t="str">
            <v>Gross margin %</v>
          </cell>
          <cell r="D26">
            <v>0.32676188598485795</v>
          </cell>
          <cell r="E26">
            <v>0.19510741497053527</v>
          </cell>
          <cell r="F26">
            <v>0.18179265591929225</v>
          </cell>
          <cell r="G26">
            <v>0.28817668306035821</v>
          </cell>
        </row>
        <row r="28">
          <cell r="C28" t="str">
            <v>SG&amp;A</v>
          </cell>
        </row>
        <row r="29">
          <cell r="C29" t="str">
            <v>(-) Selling Expenses</v>
          </cell>
          <cell r="D29">
            <v>-10531.9</v>
          </cell>
          <cell r="E29">
            <v>10531.9</v>
          </cell>
          <cell r="F29">
            <v>0</v>
          </cell>
          <cell r="G29">
            <v>0</v>
          </cell>
        </row>
        <row r="30">
          <cell r="C30" t="str">
            <v>(-) Freight Expense</v>
          </cell>
          <cell r="D30">
            <v>-3683600.01</v>
          </cell>
          <cell r="E30">
            <v>-5251000</v>
          </cell>
          <cell r="F30">
            <v>-5625000</v>
          </cell>
          <cell r="G30">
            <v>-5517000</v>
          </cell>
        </row>
        <row r="31">
          <cell r="C31" t="str">
            <v>(-) Administrative Expenses</v>
          </cell>
          <cell r="D31">
            <v>-19871817.32</v>
          </cell>
          <cell r="E31">
            <v>-1775641.4100000001</v>
          </cell>
          <cell r="F31">
            <v>-74586.5</v>
          </cell>
          <cell r="G31">
            <v>-53651259.890000001</v>
          </cell>
        </row>
        <row r="32">
          <cell r="C32" t="str">
            <v>(-) Management Expenses</v>
          </cell>
          <cell r="D32">
            <v>0</v>
          </cell>
          <cell r="E32">
            <v>-3506695.9499999997</v>
          </cell>
          <cell r="F32">
            <v>-3676195.15</v>
          </cell>
          <cell r="G32">
            <v>-3794767.2</v>
          </cell>
        </row>
        <row r="33">
          <cell r="C33" t="str">
            <v>Total SG&amp;A</v>
          </cell>
          <cell r="D33">
            <v>-23565949.23</v>
          </cell>
          <cell r="E33">
            <v>-10522805.459999999</v>
          </cell>
          <cell r="F33">
            <v>-9375781.6500000004</v>
          </cell>
          <cell r="G33">
            <v>-62963027.090000004</v>
          </cell>
        </row>
        <row r="35">
          <cell r="C35" t="str">
            <v>Operating Profit</v>
          </cell>
          <cell r="D35">
            <v>32490922.689999986</v>
          </cell>
          <cell r="E35">
            <v>38553521.520000018</v>
          </cell>
          <cell r="F35">
            <v>41192139.78999994</v>
          </cell>
          <cell r="G35">
            <v>16405756.860000044</v>
          </cell>
        </row>
        <row r="36">
          <cell r="C36" t="str">
            <v>Operating Profit margin %</v>
          </cell>
          <cell r="D36">
            <v>0.18939328599576649</v>
          </cell>
          <cell r="E36">
            <v>0.15327304190559254</v>
          </cell>
          <cell r="F36">
            <v>0.14808653949338313</v>
          </cell>
          <cell r="G36">
            <v>5.956695264460489E-2</v>
          </cell>
        </row>
        <row r="38">
          <cell r="C38" t="str">
            <v>(+) Financial products</v>
          </cell>
          <cell r="D38">
            <v>1302107.68</v>
          </cell>
          <cell r="E38">
            <v>2714041.69</v>
          </cell>
          <cell r="F38">
            <v>6069828.3199999994</v>
          </cell>
          <cell r="G38">
            <v>6347663.3499999996</v>
          </cell>
        </row>
        <row r="39">
          <cell r="C39" t="str">
            <v>(-) Financial expenses</v>
          </cell>
          <cell r="D39">
            <v>-1790</v>
          </cell>
          <cell r="E39">
            <v>-765.22</v>
          </cell>
          <cell r="F39">
            <v>-1912.41</v>
          </cell>
          <cell r="G39">
            <v>-2147.12</v>
          </cell>
        </row>
        <row r="40">
          <cell r="C40" t="str">
            <v>(+/-) Exchange gain or loss</v>
          </cell>
          <cell r="D40">
            <v>69438.539999999994</v>
          </cell>
          <cell r="E40">
            <v>65982.62000000001</v>
          </cell>
          <cell r="F40">
            <v>-113792.69999999998</v>
          </cell>
          <cell r="G40">
            <v>271430.33</v>
          </cell>
        </row>
        <row r="41">
          <cell r="C41" t="str">
            <v>Financial Gain (Loss), Net</v>
          </cell>
          <cell r="D41">
            <v>1369756.22</v>
          </cell>
          <cell r="E41">
            <v>2779259.09</v>
          </cell>
          <cell r="F41">
            <v>5954123.209999999</v>
          </cell>
          <cell r="G41">
            <v>6616946.5599999996</v>
          </cell>
        </row>
        <row r="43">
          <cell r="C43" t="str">
            <v>(+) Other Products</v>
          </cell>
          <cell r="D43">
            <v>30116.789999999997</v>
          </cell>
          <cell r="E43">
            <v>122498.73</v>
          </cell>
          <cell r="F43">
            <v>164936.03</v>
          </cell>
          <cell r="G43">
            <v>203164.53</v>
          </cell>
        </row>
        <row r="44">
          <cell r="C44" t="str">
            <v>(+) Other Income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C45" t="str">
            <v>(-) Other Expenses</v>
          </cell>
          <cell r="D45">
            <v>-102.64000000000931</v>
          </cell>
          <cell r="E45">
            <v>-2900809.25</v>
          </cell>
          <cell r="F45">
            <v>1339905.79</v>
          </cell>
          <cell r="G45">
            <v>0</v>
          </cell>
        </row>
        <row r="46">
          <cell r="C46" t="str">
            <v>Other Income (Loss), Net</v>
          </cell>
          <cell r="D46">
            <v>30014.149999999987</v>
          </cell>
          <cell r="E46">
            <v>-2778310.52</v>
          </cell>
          <cell r="F46">
            <v>1504841.82</v>
          </cell>
          <cell r="G46">
            <v>203164.53</v>
          </cell>
        </row>
        <row r="48">
          <cell r="C48" t="str">
            <v>EBT</v>
          </cell>
          <cell r="D48">
            <v>33890693.059999987</v>
          </cell>
          <cell r="E48">
            <v>38554470.090000018</v>
          </cell>
          <cell r="F48">
            <v>48651104.819999941</v>
          </cell>
          <cell r="G48">
            <v>23225867.950000044</v>
          </cell>
        </row>
        <row r="50">
          <cell r="C50" t="str">
            <v>(-) Taxes</v>
          </cell>
          <cell r="D50">
            <v>-10464520</v>
          </cell>
          <cell r="E50">
            <v>-12825653.68</v>
          </cell>
          <cell r="F50">
            <v>-16831170.560000002</v>
          </cell>
          <cell r="G50">
            <v>-6986181.1399999997</v>
          </cell>
        </row>
        <row r="51">
          <cell r="C51" t="str">
            <v>(-) PTU</v>
          </cell>
          <cell r="D51">
            <v>-3488173.45</v>
          </cell>
          <cell r="E51">
            <v>-4044949</v>
          </cell>
          <cell r="F51">
            <v>-5349146.1500000004</v>
          </cell>
          <cell r="G51">
            <v>-2328727.0499999998</v>
          </cell>
        </row>
        <row r="52">
          <cell r="C52" t="str">
            <v>Net Income</v>
          </cell>
          <cell r="D52">
            <v>19937999.609999988</v>
          </cell>
          <cell r="E52">
            <v>21683867.410000019</v>
          </cell>
          <cell r="F52">
            <v>26470788.10999994</v>
          </cell>
          <cell r="G52">
            <v>13910959.760000043</v>
          </cell>
        </row>
        <row r="53">
          <cell r="C53" t="str">
            <v>Net income margin %</v>
          </cell>
          <cell r="D53">
            <v>0.11622086877460143</v>
          </cell>
          <cell r="E53">
            <v>8.6206193031786213E-2</v>
          </cell>
          <cell r="F53">
            <v>9.5162995388360927E-2</v>
          </cell>
          <cell r="G53">
            <v>5.0508701813402626E-2</v>
          </cell>
        </row>
        <row r="55">
          <cell r="C55" t="str">
            <v>EBITDA</v>
          </cell>
          <cell r="D55">
            <v>32639139.179999985</v>
          </cell>
          <cell r="E55">
            <v>39449338.290000021</v>
          </cell>
          <cell r="F55">
            <v>42956775.219999939</v>
          </cell>
          <cell r="G55">
            <v>18501118.490000043</v>
          </cell>
        </row>
        <row r="56">
          <cell r="C56" t="str">
            <v>EBITDA margin %</v>
          </cell>
          <cell r="D56">
            <v>0.19025725678378286</v>
          </cell>
          <cell r="E56">
            <v>0.15683444319695616</v>
          </cell>
          <cell r="F56">
            <v>0.15443043800480635</v>
          </cell>
          <cell r="G56">
            <v>6.7174910512848698E-2</v>
          </cell>
        </row>
        <row r="59">
          <cell r="C59" t="str">
            <v>Balance Sheet</v>
          </cell>
        </row>
        <row r="61">
          <cell r="C61" t="str">
            <v>Current Assets</v>
          </cell>
        </row>
        <row r="62">
          <cell r="C62" t="str">
            <v>Cash &amp; Equivalents</v>
          </cell>
          <cell r="D62">
            <v>30631453.48</v>
          </cell>
          <cell r="E62">
            <v>58123048.949999996</v>
          </cell>
          <cell r="F62">
            <v>86586023.790000007</v>
          </cell>
          <cell r="G62">
            <v>88925701.810000002</v>
          </cell>
        </row>
        <row r="63">
          <cell r="C63" t="str">
            <v>Accounts Receivable</v>
          </cell>
          <cell r="D63">
            <v>1101961.74</v>
          </cell>
          <cell r="E63">
            <v>1567429.83</v>
          </cell>
          <cell r="F63">
            <v>3610662.37</v>
          </cell>
          <cell r="G63">
            <v>2735950</v>
          </cell>
        </row>
        <row r="64">
          <cell r="C64" t="str">
            <v>Other Debtors</v>
          </cell>
          <cell r="D64">
            <v>-565.28</v>
          </cell>
          <cell r="E64">
            <v>103083.26000000001</v>
          </cell>
          <cell r="F64">
            <v>19757.57</v>
          </cell>
          <cell r="G64">
            <v>49613.440000000002</v>
          </cell>
        </row>
        <row r="65">
          <cell r="C65" t="str">
            <v>Inventory</v>
          </cell>
          <cell r="D65">
            <v>116396.63</v>
          </cell>
          <cell r="E65">
            <v>0</v>
          </cell>
          <cell r="F65">
            <v>0</v>
          </cell>
          <cell r="G65">
            <v>0</v>
          </cell>
        </row>
        <row r="66">
          <cell r="C66" t="str">
            <v>VAT Not Paid</v>
          </cell>
          <cell r="D66">
            <v>407773.33999999997</v>
          </cell>
          <cell r="E66">
            <v>1706127.93</v>
          </cell>
          <cell r="F66">
            <v>0</v>
          </cell>
          <cell r="G66">
            <v>0</v>
          </cell>
        </row>
        <row r="67">
          <cell r="C67" t="str">
            <v>Supplier Advances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C68" t="str">
            <v>Provisional Tax Payments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C69" t="str">
            <v>Total Current Assets</v>
          </cell>
          <cell r="D69">
            <v>32257019.909999996</v>
          </cell>
          <cell r="E69">
            <v>61499689.969999991</v>
          </cell>
          <cell r="F69">
            <v>90216443.730000004</v>
          </cell>
          <cell r="G69">
            <v>91711265.25</v>
          </cell>
        </row>
        <row r="71">
          <cell r="C71" t="str">
            <v>Non-current Assets</v>
          </cell>
        </row>
        <row r="72">
          <cell r="C72" t="str">
            <v>Current PP&amp;E</v>
          </cell>
          <cell r="D72">
            <v>535466.4</v>
          </cell>
          <cell r="E72">
            <v>535466.4</v>
          </cell>
          <cell r="F72">
            <v>535466.4</v>
          </cell>
          <cell r="G72">
            <v>799798.3</v>
          </cell>
        </row>
        <row r="73">
          <cell r="C73" t="str">
            <v>Current PP&amp;E - D&amp;A</v>
          </cell>
          <cell r="D73">
            <v>-78930.180000000008</v>
          </cell>
          <cell r="E73">
            <v>-186023.45</v>
          </cell>
          <cell r="F73">
            <v>-293116.73</v>
          </cell>
          <cell r="G73">
            <v>-424348.79</v>
          </cell>
        </row>
        <row r="74">
          <cell r="C74" t="str">
            <v>Maintenance Capex</v>
          </cell>
          <cell r="D74">
            <v>2030841.98</v>
          </cell>
          <cell r="E74">
            <v>7054243.8200000003</v>
          </cell>
          <cell r="F74">
            <v>9168759.2400000002</v>
          </cell>
          <cell r="G74">
            <v>13494827.470000001</v>
          </cell>
        </row>
        <row r="75">
          <cell r="C75" t="str">
            <v>Maintenance Capex - D&amp;A</v>
          </cell>
          <cell r="D75">
            <v>-72439.53</v>
          </cell>
          <cell r="E75">
            <v>-861163.03</v>
          </cell>
          <cell r="F75">
            <v>-2518705.1800000002</v>
          </cell>
          <cell r="G75">
            <v>-4482834.75</v>
          </cell>
        </row>
        <row r="76">
          <cell r="C76" t="str">
            <v>Intangible Assets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C77" t="str">
            <v>Other Assets</v>
          </cell>
          <cell r="D77">
            <v>371800</v>
          </cell>
          <cell r="E77">
            <v>775877</v>
          </cell>
          <cell r="F77">
            <v>1464337</v>
          </cell>
          <cell r="G77">
            <v>1937114</v>
          </cell>
        </row>
        <row r="78">
          <cell r="C78" t="str">
            <v>Total Non-current Assets</v>
          </cell>
          <cell r="D78">
            <v>2786738.6700000004</v>
          </cell>
          <cell r="E78">
            <v>7318400.7400000002</v>
          </cell>
          <cell r="F78">
            <v>8356740.7300000004</v>
          </cell>
          <cell r="G78">
            <v>11324556.23</v>
          </cell>
        </row>
        <row r="80">
          <cell r="C80" t="str">
            <v>Total Assets</v>
          </cell>
          <cell r="D80">
            <v>35043758.579999998</v>
          </cell>
          <cell r="E80">
            <v>68818090.709999993</v>
          </cell>
          <cell r="F80">
            <v>98573184.460000008</v>
          </cell>
          <cell r="G80">
            <v>103035821.48</v>
          </cell>
        </row>
        <row r="82">
          <cell r="C82" t="str">
            <v>Current Liabilities</v>
          </cell>
        </row>
        <row r="83">
          <cell r="C83" t="str">
            <v>Accounts Payable</v>
          </cell>
          <cell r="D83">
            <v>-1934669.49</v>
          </cell>
          <cell r="E83">
            <v>-4024147.9</v>
          </cell>
          <cell r="F83">
            <v>-1750298.52</v>
          </cell>
          <cell r="G83">
            <v>-6434434.9699999997</v>
          </cell>
        </row>
        <row r="84">
          <cell r="C84" t="str">
            <v>Tax Receivable</v>
          </cell>
          <cell r="D84">
            <v>266934.99</v>
          </cell>
          <cell r="E84">
            <v>555914.55000000005</v>
          </cell>
          <cell r="F84">
            <v>241045.04</v>
          </cell>
          <cell r="G84">
            <v>905937.42</v>
          </cell>
        </row>
        <row r="85">
          <cell r="C85" t="str">
            <v>Other Creditors</v>
          </cell>
          <cell r="D85">
            <v>-43818.93</v>
          </cell>
          <cell r="E85">
            <v>-919509.81</v>
          </cell>
          <cell r="F85">
            <v>-2363663.5699999998</v>
          </cell>
          <cell r="G85">
            <v>-2371777.12</v>
          </cell>
        </row>
        <row r="86">
          <cell r="C86" t="str">
            <v>PTU Payable</v>
          </cell>
          <cell r="D86">
            <v>-3488173.45</v>
          </cell>
          <cell r="E86">
            <v>-4370603.28</v>
          </cell>
          <cell r="F86">
            <v>-5567169.3399999999</v>
          </cell>
          <cell r="G86">
            <v>-2531930.94</v>
          </cell>
        </row>
        <row r="87">
          <cell r="C87" t="str">
            <v>Wages Payable</v>
          </cell>
          <cell r="D87">
            <v>-11150</v>
          </cell>
          <cell r="E87">
            <v>0</v>
          </cell>
          <cell r="F87">
            <v>0</v>
          </cell>
          <cell r="G87">
            <v>0</v>
          </cell>
        </row>
        <row r="88">
          <cell r="C88" t="str">
            <v>Taxes Payable</v>
          </cell>
          <cell r="D88">
            <v>-1923796.07</v>
          </cell>
          <cell r="E88">
            <v>-3672175.44</v>
          </cell>
          <cell r="F88">
            <v>-6411046.0899999999</v>
          </cell>
          <cell r="G88">
            <v>4571432.4899999993</v>
          </cell>
        </row>
        <row r="89">
          <cell r="C89" t="str">
            <v>VAT Payable</v>
          </cell>
          <cell r="D89">
            <v>-214811.56</v>
          </cell>
          <cell r="E89">
            <v>-3784350.4699999997</v>
          </cell>
          <cell r="F89">
            <v>-4711814.68</v>
          </cell>
          <cell r="G89">
            <v>-5072627</v>
          </cell>
        </row>
        <row r="90">
          <cell r="C90" t="str">
            <v>Labor Liabilities</v>
          </cell>
          <cell r="D90">
            <v>-1603762.5699999998</v>
          </cell>
          <cell r="E90">
            <v>-1928029.9100000001</v>
          </cell>
          <cell r="F90">
            <v>-2204166.5299999998</v>
          </cell>
          <cell r="G90">
            <v>-2385390.83</v>
          </cell>
        </row>
        <row r="91">
          <cell r="C91" t="str">
            <v>Other ST Liabilities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C92" t="str">
            <v>Total Current Liabilities</v>
          </cell>
          <cell r="D92">
            <v>-8953247.0800000001</v>
          </cell>
          <cell r="E92">
            <v>-18142902.260000002</v>
          </cell>
          <cell r="F92">
            <v>-22767113.690000001</v>
          </cell>
          <cell r="G92">
            <v>-13318790.950000001</v>
          </cell>
        </row>
        <row r="94">
          <cell r="C94" t="str">
            <v>Non-current Liabilities</v>
          </cell>
        </row>
        <row r="95">
          <cell r="C95" t="str">
            <v>Long Term Debt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C96" t="str">
            <v>LT Labor Liabilities</v>
          </cell>
          <cell r="D96">
            <v>-844331.25</v>
          </cell>
          <cell r="E96">
            <v>-3745140.79</v>
          </cell>
          <cell r="F96">
            <v>-2405235</v>
          </cell>
          <cell r="G96">
            <v>-2405235</v>
          </cell>
        </row>
        <row r="97">
          <cell r="C97" t="str">
            <v>Other LT liabilities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C98" t="str">
            <v>Total Non-current Liabilities</v>
          </cell>
          <cell r="D98">
            <v>-844331.25</v>
          </cell>
          <cell r="E98">
            <v>-3745140.79</v>
          </cell>
          <cell r="F98">
            <v>-2405235</v>
          </cell>
          <cell r="G98">
            <v>-2405235</v>
          </cell>
        </row>
        <row r="100">
          <cell r="C100" t="str">
            <v>Total Liabilities</v>
          </cell>
          <cell r="D100">
            <v>-9797578.3300000001</v>
          </cell>
          <cell r="E100">
            <v>-21888043.050000001</v>
          </cell>
          <cell r="F100">
            <v>-25172348.690000001</v>
          </cell>
          <cell r="G100">
            <v>-15724025.950000001</v>
          </cell>
        </row>
        <row r="102">
          <cell r="C102" t="str">
            <v>Shareholder's Equity</v>
          </cell>
        </row>
        <row r="103">
          <cell r="C103" t="str">
            <v>Equity</v>
          </cell>
          <cell r="D103">
            <v>-10000</v>
          </cell>
          <cell r="E103">
            <v>-10000</v>
          </cell>
          <cell r="F103">
            <v>-10000</v>
          </cell>
          <cell r="G103">
            <v>-10000</v>
          </cell>
        </row>
        <row r="104">
          <cell r="C104" t="str">
            <v>Reserves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C105" t="str">
            <v>Retained Earnings</v>
          </cell>
          <cell r="D105">
            <v>-5298180.6400000006</v>
          </cell>
          <cell r="E105">
            <v>-25236180.25</v>
          </cell>
          <cell r="F105">
            <v>-73390835.769999996</v>
          </cell>
          <cell r="G105">
            <v>-73390835.769999981</v>
          </cell>
        </row>
        <row r="106">
          <cell r="C106" t="str">
            <v>Net Income</v>
          </cell>
          <cell r="D106">
            <v>-19937999.609999985</v>
          </cell>
          <cell r="E106">
            <v>-21683867.410000041</v>
          </cell>
          <cell r="F106">
            <v>0</v>
          </cell>
          <cell r="G106">
            <v>-13910959.760000033</v>
          </cell>
        </row>
        <row r="107">
          <cell r="C107" t="str">
            <v>Total Shareholder's Equity</v>
          </cell>
          <cell r="D107">
            <v>-25246180.249999985</v>
          </cell>
          <cell r="E107">
            <v>-46930047.660000041</v>
          </cell>
          <cell r="F107">
            <v>-73400835.769999996</v>
          </cell>
          <cell r="G107">
            <v>-87311795.530000016</v>
          </cell>
        </row>
        <row r="109">
          <cell r="C109" t="str">
            <v>Total Equity + Liabilities</v>
          </cell>
          <cell r="D109">
            <v>-35043758.579999983</v>
          </cell>
          <cell r="E109">
            <v>-68818090.710000038</v>
          </cell>
          <cell r="F109">
            <v>-98573184.459999993</v>
          </cell>
          <cell r="G109">
            <v>-103035821.48000002</v>
          </cell>
        </row>
        <row r="110">
          <cell r="C110" t="str">
            <v>CHECK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2">
          <cell r="C112" t="str">
            <v>Cash Flow Statement</v>
          </cell>
        </row>
        <row r="114">
          <cell r="C114" t="str">
            <v>Net Income</v>
          </cell>
          <cell r="E114">
            <v>21683867.410000019</v>
          </cell>
          <cell r="F114">
            <v>26470788.10999994</v>
          </cell>
          <cell r="G114">
            <v>13910959.760000043</v>
          </cell>
        </row>
        <row r="115">
          <cell r="C115" t="str">
            <v>D&amp;A</v>
          </cell>
          <cell r="E115">
            <v>107093.27</v>
          </cell>
          <cell r="F115">
            <v>107093.27999999997</v>
          </cell>
          <cell r="G115">
            <v>131232.06</v>
          </cell>
        </row>
        <row r="116">
          <cell r="C116" t="str">
            <v>Interest Exepnse</v>
          </cell>
          <cell r="E116">
            <v>765.22</v>
          </cell>
          <cell r="F116">
            <v>1912.41</v>
          </cell>
          <cell r="G116">
            <v>2147.12</v>
          </cell>
        </row>
        <row r="117">
          <cell r="C117" t="str">
            <v>Maintenance Capex D&amp;A</v>
          </cell>
          <cell r="E117">
            <v>788723.5</v>
          </cell>
          <cell r="F117">
            <v>1657542.1500000001</v>
          </cell>
          <cell r="G117">
            <v>1964129.5699999998</v>
          </cell>
        </row>
        <row r="118">
          <cell r="C118" t="str">
            <v>Decrease (increase) in accounts receivable</v>
          </cell>
          <cell r="E118">
            <v>-569116.63000000012</v>
          </cell>
          <cell r="F118">
            <v>-1959906.8499999999</v>
          </cell>
          <cell r="G118">
            <v>844856.5</v>
          </cell>
        </row>
        <row r="119">
          <cell r="C119" t="str">
            <v>Decrease (increase) in other receivables</v>
          </cell>
          <cell r="E119">
            <v>-1298354.5899999999</v>
          </cell>
          <cell r="F119">
            <v>1706127.93</v>
          </cell>
          <cell r="G119">
            <v>0</v>
          </cell>
        </row>
        <row r="120">
          <cell r="C120" t="str">
            <v>Decrease (increase) in inventory</v>
          </cell>
          <cell r="E120">
            <v>116396.63</v>
          </cell>
          <cell r="F120">
            <v>0</v>
          </cell>
          <cell r="G120">
            <v>0</v>
          </cell>
        </row>
        <row r="121">
          <cell r="C121" t="str">
            <v>Increase (decrease) in accounts payable and other</v>
          </cell>
          <cell r="E121">
            <v>2676189.7300000004</v>
          </cell>
          <cell r="F121">
            <v>-514826.11000000034</v>
          </cell>
          <cell r="G121">
            <v>4027357.62</v>
          </cell>
        </row>
        <row r="122">
          <cell r="C122" t="str">
            <v>Taxes Payables and other</v>
          </cell>
          <cell r="E122">
            <v>6513465.4500000011</v>
          </cell>
          <cell r="F122">
            <v>5139037.5399999991</v>
          </cell>
          <cell r="G122">
            <v>-13475680.359999999</v>
          </cell>
        </row>
        <row r="123">
          <cell r="C123" t="str">
            <v>Total CFO</v>
          </cell>
          <cell r="E123">
            <v>30019029.990000017</v>
          </cell>
          <cell r="F123">
            <v>32607768.459999938</v>
          </cell>
          <cell r="G123">
            <v>7405002.2700000443</v>
          </cell>
        </row>
        <row r="125">
          <cell r="C125" t="str">
            <v>PP&amp;E</v>
          </cell>
          <cell r="E125">
            <v>0</v>
          </cell>
          <cell r="F125">
            <v>0</v>
          </cell>
          <cell r="G125">
            <v>-264331.90000000002</v>
          </cell>
        </row>
        <row r="126">
          <cell r="C126" t="str">
            <v>Maintenance Capex</v>
          </cell>
          <cell r="E126">
            <v>-5023401.84</v>
          </cell>
          <cell r="F126">
            <v>-2114515.42</v>
          </cell>
          <cell r="G126">
            <v>-4326068.2300000004</v>
          </cell>
        </row>
        <row r="127">
          <cell r="C127" t="str">
            <v>Intangibles &amp; other assets</v>
          </cell>
          <cell r="E127">
            <v>-404077</v>
          </cell>
          <cell r="F127">
            <v>-688460</v>
          </cell>
          <cell r="G127">
            <v>-472777</v>
          </cell>
        </row>
        <row r="128">
          <cell r="C128" t="str">
            <v>Total CFI</v>
          </cell>
          <cell r="E128">
            <v>-5427478.8399999999</v>
          </cell>
          <cell r="F128">
            <v>-2802975.42</v>
          </cell>
          <cell r="G128">
            <v>-5063177.1300000008</v>
          </cell>
        </row>
        <row r="130">
          <cell r="C130" t="str">
            <v>Financial Debt</v>
          </cell>
          <cell r="E130">
            <v>0</v>
          </cell>
          <cell r="F130">
            <v>0</v>
          </cell>
          <cell r="G130">
            <v>0</v>
          </cell>
        </row>
        <row r="131">
          <cell r="C131" t="str">
            <v>LT Labor Liabilities</v>
          </cell>
          <cell r="E131">
            <v>2900809.54</v>
          </cell>
          <cell r="F131">
            <v>-1339905.79</v>
          </cell>
          <cell r="G131">
            <v>0</v>
          </cell>
        </row>
        <row r="132">
          <cell r="C132" t="str">
            <v>Interest Expense</v>
          </cell>
          <cell r="E132">
            <v>-765.22</v>
          </cell>
          <cell r="F132">
            <v>-1912.41</v>
          </cell>
          <cell r="G132">
            <v>-2147.12</v>
          </cell>
        </row>
        <row r="133">
          <cell r="C133" t="str">
            <v>Changes in Equity</v>
          </cell>
          <cell r="E133">
            <v>0</v>
          </cell>
          <cell r="F133">
            <v>0</v>
          </cell>
          <cell r="G133">
            <v>0</v>
          </cell>
        </row>
        <row r="134">
          <cell r="C134" t="str">
            <v>Total CFF</v>
          </cell>
          <cell r="E134">
            <v>2900044.32</v>
          </cell>
          <cell r="F134">
            <v>-1341818.2</v>
          </cell>
          <cell r="G134">
            <v>-2147.12</v>
          </cell>
        </row>
        <row r="136">
          <cell r="C136" t="str">
            <v>Net Change</v>
          </cell>
          <cell r="E136">
            <v>27491595.470000017</v>
          </cell>
          <cell r="F136">
            <v>28462974.83999994</v>
          </cell>
          <cell r="G136">
            <v>2339678.0200000433</v>
          </cell>
        </row>
        <row r="138">
          <cell r="C138" t="str">
            <v>Initial Cash Balance</v>
          </cell>
          <cell r="E138">
            <v>30631453.48</v>
          </cell>
          <cell r="F138">
            <v>58123048.949999996</v>
          </cell>
          <cell r="G138">
            <v>86586023.790000007</v>
          </cell>
        </row>
        <row r="139">
          <cell r="C139" t="str">
            <v>Final Cash Balance</v>
          </cell>
          <cell r="E139">
            <v>58123048.950000018</v>
          </cell>
          <cell r="F139">
            <v>86586023.789999932</v>
          </cell>
          <cell r="G139">
            <v>88925701.810000047</v>
          </cell>
        </row>
        <row r="140">
          <cell r="C140" t="str">
            <v>CHECK</v>
          </cell>
          <cell r="E140">
            <v>0</v>
          </cell>
          <cell r="F140">
            <v>0</v>
          </cell>
          <cell r="G140">
            <v>0</v>
          </cell>
        </row>
      </sheetData>
      <sheetData sheetId="3">
        <row r="9">
          <cell r="C9" t="str">
            <v>Profit &amp; Loss</v>
          </cell>
        </row>
        <row r="11">
          <cell r="C11" t="str">
            <v>Revenues</v>
          </cell>
        </row>
        <row r="12">
          <cell r="C12" t="str">
            <v>Sales</v>
          </cell>
          <cell r="D12">
            <v>39600000</v>
          </cell>
          <cell r="E12">
            <v>74640000</v>
          </cell>
          <cell r="F12">
            <v>77718000</v>
          </cell>
          <cell r="G12">
            <v>102367200</v>
          </cell>
        </row>
        <row r="13">
          <cell r="C13" t="str">
            <v>(-) Returns and Discounts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C14" t="str">
            <v>Total Revenue</v>
          </cell>
          <cell r="D14">
            <v>39600000</v>
          </cell>
          <cell r="E14">
            <v>74640000</v>
          </cell>
          <cell r="F14">
            <v>77718000</v>
          </cell>
          <cell r="G14">
            <v>102367200</v>
          </cell>
        </row>
        <row r="15">
          <cell r="C15" t="str">
            <v>growth %</v>
          </cell>
          <cell r="D15" t="str">
            <v>NA</v>
          </cell>
          <cell r="E15">
            <v>0.88484848484848477</v>
          </cell>
          <cell r="F15">
            <v>4.1237942122186455E-2</v>
          </cell>
          <cell r="G15">
            <v>0.31716204740214615</v>
          </cell>
        </row>
        <row r="17">
          <cell r="C17" t="str">
            <v>COGS</v>
          </cell>
        </row>
        <row r="18">
          <cell r="C18" t="str">
            <v>(-) Cost of Goods Sold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C19" t="str">
            <v>Total COGS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1">
          <cell r="C21" t="str">
            <v>Gross Profit</v>
          </cell>
          <cell r="D21">
            <v>39600000</v>
          </cell>
          <cell r="E21">
            <v>74640000</v>
          </cell>
          <cell r="F21">
            <v>77718000</v>
          </cell>
          <cell r="G21">
            <v>102367200</v>
          </cell>
        </row>
        <row r="22">
          <cell r="C22" t="str">
            <v>Gross margin %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</row>
        <row r="24">
          <cell r="C24" t="str">
            <v>SG&amp;A</v>
          </cell>
        </row>
        <row r="25">
          <cell r="C25" t="str">
            <v>(-) Labor Expenses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C26" t="str">
            <v>(-) Manufacturing Expenses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C27" t="str">
            <v>(-) Selling Expenses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C28" t="str">
            <v>(-) Freight Expense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C29" t="str">
            <v>(-) Administrative Expenses</v>
          </cell>
          <cell r="D29">
            <v>-39276047.729999997</v>
          </cell>
          <cell r="E29">
            <v>-59067453.079999991</v>
          </cell>
          <cell r="F29">
            <v>-73835159.740000024</v>
          </cell>
          <cell r="G29">
            <v>-81740842.37999998</v>
          </cell>
        </row>
        <row r="30">
          <cell r="C30" t="str">
            <v>(-) Management Expenses</v>
          </cell>
          <cell r="D30">
            <v>0</v>
          </cell>
          <cell r="E30">
            <v>-769088.46</v>
          </cell>
          <cell r="F30">
            <v>-1473882.4500000002</v>
          </cell>
          <cell r="G30">
            <v>-1584615.36</v>
          </cell>
        </row>
        <row r="31">
          <cell r="C31" t="str">
            <v>(-) Depreciation Expenses</v>
          </cell>
          <cell r="D31">
            <v>0</v>
          </cell>
          <cell r="E31">
            <v>-37642.589999999997</v>
          </cell>
          <cell r="F31">
            <v>-74710.649999999994</v>
          </cell>
          <cell r="G31">
            <v>-78104.160000000003</v>
          </cell>
        </row>
        <row r="32">
          <cell r="C32" t="str">
            <v>(-) Amortization Expense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C33" t="str">
            <v>Total SG&amp;A</v>
          </cell>
          <cell r="D33">
            <v>-39276047.729999997</v>
          </cell>
          <cell r="E33">
            <v>-59874184.129999995</v>
          </cell>
          <cell r="F33">
            <v>-75383752.840000033</v>
          </cell>
          <cell r="G33">
            <v>-83403561.899999976</v>
          </cell>
        </row>
        <row r="35">
          <cell r="C35" t="str">
            <v>Operating Profit</v>
          </cell>
          <cell r="D35">
            <v>323952.27000000328</v>
          </cell>
          <cell r="E35">
            <v>14765815.870000005</v>
          </cell>
          <cell r="F35">
            <v>2334247.1599999666</v>
          </cell>
          <cell r="G35">
            <v>18963638.100000024</v>
          </cell>
        </row>
        <row r="36">
          <cell r="C36" t="str">
            <v>Operating Profit margin %</v>
          </cell>
          <cell r="D36">
            <v>8.1806128787879611E-3</v>
          </cell>
          <cell r="E36">
            <v>0.19782711508574496</v>
          </cell>
          <cell r="F36">
            <v>3.0034833114593359E-2</v>
          </cell>
          <cell r="G36">
            <v>0.18525111656858861</v>
          </cell>
        </row>
        <row r="38">
          <cell r="C38" t="str">
            <v>(+) Financial products</v>
          </cell>
          <cell r="D38">
            <v>406385.87</v>
          </cell>
          <cell r="E38">
            <v>1251671.8999999999</v>
          </cell>
          <cell r="F38">
            <v>2079596.4</v>
          </cell>
          <cell r="G38">
            <v>2211558.41</v>
          </cell>
        </row>
        <row r="39">
          <cell r="C39" t="str">
            <v>(-) Financial expenses</v>
          </cell>
          <cell r="D39">
            <v>-2015</v>
          </cell>
          <cell r="E39">
            <v>-1746</v>
          </cell>
          <cell r="F39">
            <v>-2110</v>
          </cell>
          <cell r="G39">
            <v>-1015</v>
          </cell>
        </row>
        <row r="40">
          <cell r="C40" t="str">
            <v>(+/-) Exchange gain or loss</v>
          </cell>
          <cell r="D40">
            <v>1711.0500000000002</v>
          </cell>
          <cell r="E40">
            <v>2434.61</v>
          </cell>
          <cell r="F40">
            <v>-34074.449999999997</v>
          </cell>
          <cell r="G40">
            <v>10054.259999999998</v>
          </cell>
        </row>
        <row r="41">
          <cell r="C41" t="str">
            <v>Financial Gain (Loss), Net</v>
          </cell>
          <cell r="D41">
            <v>406081.92</v>
          </cell>
          <cell r="E41">
            <v>1252360.51</v>
          </cell>
          <cell r="F41">
            <v>2043411.95</v>
          </cell>
          <cell r="G41">
            <v>2220597.67</v>
          </cell>
        </row>
        <row r="43">
          <cell r="C43" t="str">
            <v>(+) Other Products</v>
          </cell>
          <cell r="D43">
            <v>32170.15</v>
          </cell>
          <cell r="E43">
            <v>157215.91999999998</v>
          </cell>
          <cell r="F43">
            <v>152839.12</v>
          </cell>
          <cell r="G43">
            <v>260857.89</v>
          </cell>
        </row>
        <row r="44">
          <cell r="C44" t="str">
            <v>(+) Other Income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C45" t="str">
            <v>(-) Other Expenses</v>
          </cell>
          <cell r="D45">
            <v>-0.79</v>
          </cell>
          <cell r="E45">
            <v>-502782.2</v>
          </cell>
          <cell r="F45">
            <v>-860283</v>
          </cell>
          <cell r="G45">
            <v>0</v>
          </cell>
        </row>
        <row r="46">
          <cell r="C46" t="str">
            <v>Other Income (Loss), Net</v>
          </cell>
          <cell r="D46">
            <v>32169.360000000001</v>
          </cell>
          <cell r="E46">
            <v>-345566.28</v>
          </cell>
          <cell r="F46">
            <v>-707443.88</v>
          </cell>
          <cell r="G46">
            <v>260857.89</v>
          </cell>
        </row>
        <row r="48">
          <cell r="C48" t="str">
            <v>EBT</v>
          </cell>
          <cell r="D48">
            <v>762203.55000000331</v>
          </cell>
          <cell r="E48">
            <v>15672610.100000005</v>
          </cell>
          <cell r="F48">
            <v>3670215.2299999669</v>
          </cell>
          <cell r="G48">
            <v>21445093.660000026</v>
          </cell>
        </row>
        <row r="50">
          <cell r="C50" t="str">
            <v>(-) Taxes</v>
          </cell>
          <cell r="D50">
            <v>-454001</v>
          </cell>
          <cell r="E50">
            <v>-5595049</v>
          </cell>
          <cell r="F50">
            <v>-1921217</v>
          </cell>
          <cell r="G50">
            <v>-6489657.1299999999</v>
          </cell>
        </row>
        <row r="51">
          <cell r="C51" t="str">
            <v>(-) PTU</v>
          </cell>
          <cell r="D51">
            <v>-151333.70000000001</v>
          </cell>
          <cell r="E51">
            <v>-1576472</v>
          </cell>
          <cell r="F51">
            <v>-414992.72</v>
          </cell>
          <cell r="G51">
            <v>-2163219.04</v>
          </cell>
        </row>
        <row r="52">
          <cell r="C52" t="str">
            <v>Net Income</v>
          </cell>
          <cell r="D52">
            <v>156868.85000000329</v>
          </cell>
          <cell r="E52">
            <v>8501089.1000000052</v>
          </cell>
          <cell r="F52">
            <v>1334005.5099999669</v>
          </cell>
          <cell r="G52">
            <v>12792217.490000028</v>
          </cell>
        </row>
        <row r="53">
          <cell r="C53" t="str">
            <v>Net income margin %</v>
          </cell>
          <cell r="D53">
            <v>3.9613345959596796E-3</v>
          </cell>
          <cell r="E53">
            <v>0.11389454849946416</v>
          </cell>
          <cell r="F53">
            <v>1.716469170591069E-2</v>
          </cell>
          <cell r="G53">
            <v>0.12496402646550876</v>
          </cell>
        </row>
        <row r="55">
          <cell r="C55" t="str">
            <v>EBITDA</v>
          </cell>
          <cell r="D55">
            <v>323952.27000000328</v>
          </cell>
          <cell r="E55">
            <v>14803458.460000005</v>
          </cell>
          <cell r="F55">
            <v>2408957.8099999665</v>
          </cell>
          <cell r="G55">
            <v>19041742.260000024</v>
          </cell>
        </row>
        <row r="56">
          <cell r="C56" t="str">
            <v>EBITDA margin %</v>
          </cell>
          <cell r="D56">
            <v>8.1806128787879611E-3</v>
          </cell>
          <cell r="E56">
            <v>0.19833143703108258</v>
          </cell>
          <cell r="F56">
            <v>3.0996137445636358E-2</v>
          </cell>
          <cell r="G56">
            <v>0.18601409689822546</v>
          </cell>
        </row>
        <row r="59">
          <cell r="C59" t="str">
            <v>Balance Sheet</v>
          </cell>
        </row>
        <row r="61">
          <cell r="C61" t="str">
            <v>Current Assets</v>
          </cell>
        </row>
        <row r="62">
          <cell r="C62" t="str">
            <v>Cash &amp; Equivalents</v>
          </cell>
          <cell r="D62">
            <v>3377542.44</v>
          </cell>
          <cell r="E62">
            <v>19884397.189999998</v>
          </cell>
          <cell r="F62">
            <v>16626030.809999999</v>
          </cell>
          <cell r="G62">
            <v>36556206.130000003</v>
          </cell>
        </row>
        <row r="63">
          <cell r="C63" t="str">
            <v>Accounts Receivable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</row>
        <row r="64">
          <cell r="C64" t="str">
            <v>Other Debtors</v>
          </cell>
          <cell r="D64">
            <v>12134.99</v>
          </cell>
          <cell r="E64">
            <v>46205.14</v>
          </cell>
          <cell r="F64">
            <v>32810.99</v>
          </cell>
          <cell r="G64">
            <v>66233.149999999994</v>
          </cell>
        </row>
        <row r="65">
          <cell r="C65" t="str">
            <v>Inventory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C66" t="str">
            <v>VAT Not Paid</v>
          </cell>
          <cell r="D66">
            <v>3147060.78</v>
          </cell>
          <cell r="E66">
            <v>141535.72999999998</v>
          </cell>
          <cell r="F66">
            <v>3619918.65</v>
          </cell>
          <cell r="G66">
            <v>2612927.23</v>
          </cell>
        </row>
        <row r="67">
          <cell r="C67" t="str">
            <v>Supplier Advances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C68" t="str">
            <v>Provisional Tax Payments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C69" t="str">
            <v>Total Current Assets</v>
          </cell>
          <cell r="D69">
            <v>6536738.21</v>
          </cell>
          <cell r="E69">
            <v>20072138.059999999</v>
          </cell>
          <cell r="F69">
            <v>20278760.449999999</v>
          </cell>
          <cell r="G69">
            <v>39235366.509999998</v>
          </cell>
        </row>
        <row r="71">
          <cell r="C71" t="str">
            <v>Non-current Assets</v>
          </cell>
        </row>
        <row r="72">
          <cell r="C72" t="str">
            <v>Current PP&amp;E</v>
          </cell>
          <cell r="D72">
            <v>0</v>
          </cell>
          <cell r="E72">
            <v>322650.8</v>
          </cell>
          <cell r="F72">
            <v>390520.91</v>
          </cell>
          <cell r="G72">
            <v>390520.91</v>
          </cell>
        </row>
        <row r="73">
          <cell r="C73" t="str">
            <v>Current PP&amp;E - D&amp;A</v>
          </cell>
          <cell r="D73">
            <v>0</v>
          </cell>
          <cell r="E73">
            <v>-37642.589999999997</v>
          </cell>
          <cell r="F73">
            <v>-112353.24</v>
          </cell>
          <cell r="G73">
            <v>-190457.4</v>
          </cell>
        </row>
        <row r="74">
          <cell r="C74" t="str">
            <v>Maintenance Capex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</row>
        <row r="75">
          <cell r="C75" t="str">
            <v>Maintenance Capex - D&amp;A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C76" t="str">
            <v>Intangible Assets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C77" t="str">
            <v>Other Assets</v>
          </cell>
          <cell r="D77">
            <v>23738</v>
          </cell>
          <cell r="E77">
            <v>0</v>
          </cell>
          <cell r="F77">
            <v>67484</v>
          </cell>
          <cell r="G77">
            <v>329497.74</v>
          </cell>
        </row>
        <row r="78">
          <cell r="C78" t="str">
            <v>Total Non-current Assets</v>
          </cell>
          <cell r="D78">
            <v>23738</v>
          </cell>
          <cell r="E78">
            <v>285008.20999999996</v>
          </cell>
          <cell r="F78">
            <v>345651.67</v>
          </cell>
          <cell r="G78">
            <v>529561.25</v>
          </cell>
        </row>
        <row r="80">
          <cell r="C80" t="str">
            <v>Total Assets</v>
          </cell>
          <cell r="D80">
            <v>6560476.21</v>
          </cell>
          <cell r="E80">
            <v>20357146.27</v>
          </cell>
          <cell r="F80">
            <v>20624412.120000001</v>
          </cell>
          <cell r="G80">
            <v>39764927.759999998</v>
          </cell>
        </row>
        <row r="82">
          <cell r="C82" t="str">
            <v>Current Liabilities</v>
          </cell>
        </row>
        <row r="83">
          <cell r="C83" t="str">
            <v>Accounts Payable</v>
          </cell>
          <cell r="D83">
            <v>-230962.02</v>
          </cell>
          <cell r="E83">
            <v>-746068.72</v>
          </cell>
          <cell r="F83">
            <v>-389545.09</v>
          </cell>
          <cell r="G83">
            <v>-328895.2</v>
          </cell>
        </row>
        <row r="84">
          <cell r="C84" t="str">
            <v>Tax Receivable</v>
          </cell>
          <cell r="D84">
            <v>30150.67</v>
          </cell>
          <cell r="E84">
            <v>102905.96</v>
          </cell>
          <cell r="F84">
            <v>50033.53</v>
          </cell>
          <cell r="G84">
            <v>46934.26</v>
          </cell>
        </row>
        <row r="85">
          <cell r="C85" t="str">
            <v>Other Creditors</v>
          </cell>
          <cell r="D85">
            <v>-2400</v>
          </cell>
          <cell r="E85">
            <v>-424501.38</v>
          </cell>
          <cell r="F85">
            <v>-494809.89999999997</v>
          </cell>
          <cell r="G85">
            <v>-553560.51</v>
          </cell>
        </row>
        <row r="86">
          <cell r="C86" t="str">
            <v>PTU Payable</v>
          </cell>
          <cell r="D86">
            <v>-151333.70000000001</v>
          </cell>
          <cell r="E86">
            <v>-1593444.2</v>
          </cell>
          <cell r="F86">
            <v>-560937.39</v>
          </cell>
          <cell r="G86">
            <v>-2206447.4300000002</v>
          </cell>
        </row>
        <row r="87">
          <cell r="C87" t="str">
            <v>Wages Payable</v>
          </cell>
          <cell r="D87">
            <v>-8721.5300000000007</v>
          </cell>
          <cell r="E87">
            <v>0</v>
          </cell>
          <cell r="F87">
            <v>0</v>
          </cell>
          <cell r="G87">
            <v>0</v>
          </cell>
        </row>
        <row r="88">
          <cell r="C88" t="str">
            <v>Taxes Payable</v>
          </cell>
          <cell r="D88">
            <v>-1171303.77</v>
          </cell>
          <cell r="E88">
            <v>-2852435.65</v>
          </cell>
          <cell r="F88">
            <v>-1937000.6700000002</v>
          </cell>
          <cell r="G88">
            <v>-6123640.5599999996</v>
          </cell>
        </row>
        <row r="89">
          <cell r="C89" t="str">
            <v>VAT Payable</v>
          </cell>
          <cell r="D89">
            <v>-462328.57</v>
          </cell>
          <cell r="E89">
            <v>-961272.41</v>
          </cell>
          <cell r="F89">
            <v>-1012319.4</v>
          </cell>
          <cell r="G89">
            <v>-1211124.3700000001</v>
          </cell>
        </row>
        <row r="90">
          <cell r="C90" t="str">
            <v>Labor Liabilities</v>
          </cell>
          <cell r="D90">
            <v>-796450.33</v>
          </cell>
          <cell r="E90">
            <v>-1111334.43</v>
          </cell>
          <cell r="F90">
            <v>-1314549.25</v>
          </cell>
          <cell r="G90">
            <v>-1630692.51</v>
          </cell>
        </row>
        <row r="91">
          <cell r="C91" t="str">
            <v>Other ST Liabilities</v>
          </cell>
          <cell r="D91">
            <v>0</v>
          </cell>
          <cell r="E91">
            <v>-502779.38</v>
          </cell>
          <cell r="F91">
            <v>-1363062.38</v>
          </cell>
          <cell r="G91">
            <v>-1363062.38</v>
          </cell>
        </row>
        <row r="92">
          <cell r="C92" t="str">
            <v>Total Current Liabilities</v>
          </cell>
          <cell r="D92">
            <v>-2793349.25</v>
          </cell>
          <cell r="E92">
            <v>-8088930.21</v>
          </cell>
          <cell r="F92">
            <v>-7022190.5500000007</v>
          </cell>
          <cell r="G92">
            <v>-13370488.699999999</v>
          </cell>
        </row>
        <row r="94">
          <cell r="C94" t="str">
            <v>Non-current Liabilities</v>
          </cell>
        </row>
        <row r="95">
          <cell r="C95" t="str">
            <v>Long Term Debt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C96" t="str">
            <v>Other LT liabilities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C97" t="str">
            <v>Total Non-current Liabilities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9">
          <cell r="C99" t="str">
            <v>Total Liabilities</v>
          </cell>
          <cell r="D99">
            <v>-2793349.25</v>
          </cell>
          <cell r="E99">
            <v>-8088930.21</v>
          </cell>
          <cell r="F99">
            <v>-7022190.5500000007</v>
          </cell>
          <cell r="G99">
            <v>-13370488.699999999</v>
          </cell>
        </row>
        <row r="101">
          <cell r="C101" t="str">
            <v>Shareholder's Equity</v>
          </cell>
        </row>
        <row r="102">
          <cell r="C102" t="str">
            <v>Equity</v>
          </cell>
          <cell r="D102">
            <v>-10000</v>
          </cell>
          <cell r="E102">
            <v>-10000</v>
          </cell>
          <cell r="F102">
            <v>-10000</v>
          </cell>
          <cell r="G102">
            <v>-10000</v>
          </cell>
        </row>
        <row r="103">
          <cell r="C103" t="str">
            <v>Reserves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C104" t="str">
            <v>Retained Earnings</v>
          </cell>
          <cell r="D104">
            <v>-3600258.1099999994</v>
          </cell>
          <cell r="E104">
            <v>-3757126.9600000009</v>
          </cell>
          <cell r="F104">
            <v>-12258216.060000002</v>
          </cell>
          <cell r="G104">
            <v>-13592221.57</v>
          </cell>
        </row>
        <row r="105">
          <cell r="C105" t="str">
            <v>Net Income</v>
          </cell>
          <cell r="D105">
            <v>-156868.85000000292</v>
          </cell>
          <cell r="E105">
            <v>-8501089.1000000071</v>
          </cell>
          <cell r="F105">
            <v>-1334005.5099999784</v>
          </cell>
          <cell r="G105">
            <v>-12792217.490000024</v>
          </cell>
        </row>
        <row r="106">
          <cell r="C106" t="str">
            <v>Total Shareholder's Equity</v>
          </cell>
          <cell r="D106">
            <v>-3767126.9600000023</v>
          </cell>
          <cell r="E106">
            <v>-12268216.060000008</v>
          </cell>
          <cell r="F106">
            <v>-13602221.569999982</v>
          </cell>
          <cell r="G106">
            <v>-26394439.060000025</v>
          </cell>
        </row>
        <row r="108">
          <cell r="C108" t="str">
            <v>Total Equity + Liabilities</v>
          </cell>
          <cell r="D108">
            <v>-6560476.2100000028</v>
          </cell>
          <cell r="E108">
            <v>-20357146.270000007</v>
          </cell>
          <cell r="F108">
            <v>-20624412.119999982</v>
          </cell>
          <cell r="G108">
            <v>-39764927.76000002</v>
          </cell>
        </row>
        <row r="109">
          <cell r="C109" t="str">
            <v>CHECK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1">
          <cell r="C111" t="str">
            <v>Cash Flow Statement</v>
          </cell>
        </row>
        <row r="113">
          <cell r="C113" t="str">
            <v>Net Income</v>
          </cell>
          <cell r="E113">
            <v>8501089.1000000052</v>
          </cell>
          <cell r="F113">
            <v>1334005.5099999669</v>
          </cell>
          <cell r="G113">
            <v>12792217.490000028</v>
          </cell>
        </row>
        <row r="114">
          <cell r="C114" t="str">
            <v>D&amp;A</v>
          </cell>
          <cell r="E114">
            <v>37642.589999999997</v>
          </cell>
          <cell r="F114">
            <v>74710.650000000009</v>
          </cell>
          <cell r="G114">
            <v>78104.159999999989</v>
          </cell>
        </row>
        <row r="115">
          <cell r="C115" t="str">
            <v>Interest Expense</v>
          </cell>
          <cell r="E115">
            <v>1746</v>
          </cell>
          <cell r="F115">
            <v>2110</v>
          </cell>
          <cell r="G115">
            <v>1015</v>
          </cell>
        </row>
        <row r="116">
          <cell r="C116" t="str">
            <v>Maintenance Capex D&amp;A</v>
          </cell>
          <cell r="E116">
            <v>0</v>
          </cell>
          <cell r="F116">
            <v>0</v>
          </cell>
          <cell r="G116">
            <v>0</v>
          </cell>
        </row>
        <row r="117">
          <cell r="C117" t="str">
            <v>Decrease (increase) in accounts receivable</v>
          </cell>
          <cell r="E117">
            <v>-34070.15</v>
          </cell>
          <cell r="F117">
            <v>13394.150000000001</v>
          </cell>
          <cell r="G117">
            <v>-33422.159999999996</v>
          </cell>
        </row>
        <row r="118">
          <cell r="C118" t="str">
            <v>Decrease (increase) in other receivables</v>
          </cell>
          <cell r="E118">
            <v>3005525.05</v>
          </cell>
          <cell r="F118">
            <v>-3478382.92</v>
          </cell>
          <cell r="G118">
            <v>1006991.4199999999</v>
          </cell>
        </row>
        <row r="119">
          <cell r="C119" t="str">
            <v>Decrease (increase) in inventory</v>
          </cell>
          <cell r="E119">
            <v>0</v>
          </cell>
          <cell r="F119">
            <v>0</v>
          </cell>
          <cell r="G119">
            <v>0</v>
          </cell>
        </row>
        <row r="120">
          <cell r="C120" t="str">
            <v>Increase (decrease) in accounts payable and other</v>
          </cell>
          <cell r="E120">
            <v>864452.79000000015</v>
          </cell>
          <cell r="F120">
            <v>-233342.68000000017</v>
          </cell>
          <cell r="G120">
            <v>1199.9899999999907</v>
          </cell>
        </row>
        <row r="121">
          <cell r="C121" t="str">
            <v>Taxes Payables and other</v>
          </cell>
          <cell r="E121">
            <v>4431128.17</v>
          </cell>
          <cell r="F121">
            <v>-833396.97999999952</v>
          </cell>
          <cell r="G121">
            <v>6347098.1600000001</v>
          </cell>
        </row>
        <row r="122">
          <cell r="C122" t="str">
            <v>Total CFO</v>
          </cell>
          <cell r="E122">
            <v>16807513.550000004</v>
          </cell>
          <cell r="F122">
            <v>-3120902.2700000331</v>
          </cell>
          <cell r="G122">
            <v>20193204.060000028</v>
          </cell>
        </row>
        <row r="124">
          <cell r="C124" t="str">
            <v>PP&amp;E</v>
          </cell>
          <cell r="E124">
            <v>-322650.8</v>
          </cell>
          <cell r="F124">
            <v>-67870.109999999986</v>
          </cell>
          <cell r="G124">
            <v>0</v>
          </cell>
        </row>
        <row r="125">
          <cell r="C125" t="str">
            <v>Maintenance Capex</v>
          </cell>
          <cell r="E125">
            <v>0</v>
          </cell>
          <cell r="F125">
            <v>0</v>
          </cell>
          <cell r="G125">
            <v>0</v>
          </cell>
        </row>
        <row r="126">
          <cell r="C126" t="str">
            <v>Intangibles &amp; other assets</v>
          </cell>
          <cell r="E126">
            <v>23738</v>
          </cell>
          <cell r="F126">
            <v>-67484</v>
          </cell>
          <cell r="G126">
            <v>-262013.74</v>
          </cell>
        </row>
        <row r="127">
          <cell r="C127" t="str">
            <v>Total CFI</v>
          </cell>
          <cell r="E127">
            <v>-298912.8</v>
          </cell>
          <cell r="F127">
            <v>-135354.10999999999</v>
          </cell>
          <cell r="G127">
            <v>-262013.74</v>
          </cell>
        </row>
        <row r="129">
          <cell r="C129" t="str">
            <v>Financial Debt</v>
          </cell>
          <cell r="E129">
            <v>0</v>
          </cell>
          <cell r="F129">
            <v>0</v>
          </cell>
          <cell r="G129">
            <v>0</v>
          </cell>
        </row>
        <row r="130">
          <cell r="C130" t="str">
            <v>Interest Expense</v>
          </cell>
          <cell r="E130">
            <v>-1746</v>
          </cell>
          <cell r="F130">
            <v>-2110</v>
          </cell>
          <cell r="G130">
            <v>-1015</v>
          </cell>
        </row>
        <row r="131">
          <cell r="C131" t="str">
            <v>Changes in Equity</v>
          </cell>
          <cell r="E131">
            <v>0</v>
          </cell>
          <cell r="F131">
            <v>6.7520886659622192E-9</v>
          </cell>
          <cell r="G131">
            <v>1.4901161193847656E-8</v>
          </cell>
        </row>
        <row r="132">
          <cell r="C132" t="str">
            <v>Total CFF</v>
          </cell>
          <cell r="E132">
            <v>-1746</v>
          </cell>
          <cell r="F132">
            <v>-2109.9999999932479</v>
          </cell>
          <cell r="G132">
            <v>-1014.9999999850988</v>
          </cell>
        </row>
        <row r="134">
          <cell r="C134" t="str">
            <v>Net Change</v>
          </cell>
          <cell r="E134">
            <v>16506854.750000004</v>
          </cell>
          <cell r="F134">
            <v>-3258366.380000026</v>
          </cell>
          <cell r="G134">
            <v>19930175.320000045</v>
          </cell>
        </row>
        <row r="136">
          <cell r="C136" t="str">
            <v>Initial Cash Balance</v>
          </cell>
          <cell r="E136">
            <v>3377542.44</v>
          </cell>
          <cell r="F136">
            <v>19884397.189999998</v>
          </cell>
          <cell r="G136">
            <v>16626030.809999999</v>
          </cell>
        </row>
        <row r="137">
          <cell r="C137" t="str">
            <v>Final Cash Balance</v>
          </cell>
          <cell r="E137">
            <v>19884397.190000005</v>
          </cell>
          <cell r="F137">
            <v>16626030.809999973</v>
          </cell>
          <cell r="G137">
            <v>36556206.13000004</v>
          </cell>
        </row>
        <row r="138">
          <cell r="C138" t="str">
            <v>CHECK</v>
          </cell>
          <cell r="E138">
            <v>0</v>
          </cell>
          <cell r="F138">
            <v>0</v>
          </cell>
          <cell r="G138">
            <v>0</v>
          </cell>
        </row>
      </sheetData>
      <sheetData sheetId="4">
        <row r="14">
          <cell r="D14">
            <v>-39600000</v>
          </cell>
          <cell r="E14">
            <v>-74640000</v>
          </cell>
          <cell r="F14">
            <v>-77718000</v>
          </cell>
          <cell r="G14">
            <v>-102367200</v>
          </cell>
        </row>
        <row r="15">
          <cell r="D15">
            <v>-161675705.75999999</v>
          </cell>
          <cell r="E15">
            <v>-219370912.28999999</v>
          </cell>
          <cell r="F15">
            <v>-245187989.84999999</v>
          </cell>
          <cell r="G15">
            <v>-225207470.86000001</v>
          </cell>
        </row>
        <row r="19">
          <cell r="D19">
            <v>161675705.75999999</v>
          </cell>
          <cell r="E19">
            <v>219370912.28999999</v>
          </cell>
          <cell r="F19">
            <v>245187989.84999999</v>
          </cell>
          <cell r="G19">
            <v>225207470.86000001</v>
          </cell>
        </row>
        <row r="20">
          <cell r="D20">
            <v>22359567.039999999</v>
          </cell>
          <cell r="E20">
            <v>24655710.649999999</v>
          </cell>
          <cell r="F20">
            <v>25814623.559999999</v>
          </cell>
          <cell r="G20">
            <v>23314412.32</v>
          </cell>
        </row>
        <row r="24">
          <cell r="D24">
            <v>39600000</v>
          </cell>
          <cell r="E24">
            <v>74640000</v>
          </cell>
          <cell r="F24">
            <v>77718000</v>
          </cell>
          <cell r="G24">
            <v>102367200</v>
          </cell>
        </row>
        <row r="25">
          <cell r="D25">
            <v>376690.44</v>
          </cell>
          <cell r="E25">
            <v>389881.38</v>
          </cell>
          <cell r="F25">
            <v>404284.8</v>
          </cell>
          <cell r="G25">
            <v>422970.39</v>
          </cell>
        </row>
        <row r="29">
          <cell r="D29">
            <v>-22359567.039999999</v>
          </cell>
          <cell r="E29">
            <v>-24655710.649999999</v>
          </cell>
          <cell r="F29">
            <v>-25814623.559999999</v>
          </cell>
          <cell r="G29">
            <v>-23314412.32</v>
          </cell>
        </row>
        <row r="30">
          <cell r="D30">
            <v>-376690.44</v>
          </cell>
          <cell r="E30">
            <v>-389881.38</v>
          </cell>
          <cell r="F30">
            <v>-404284.8</v>
          </cell>
          <cell r="G30">
            <v>-422970.39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E41B2-22CB-964A-A52D-2F2A0AD51B8A}">
  <sheetPr>
    <tabColor theme="3"/>
  </sheetPr>
  <dimension ref="A1:H77"/>
  <sheetViews>
    <sheetView showGridLines="0" tabSelected="1" zoomScaleNormal="100" workbookViewId="0">
      <pane xSplit="3" ySplit="8" topLeftCell="D9" activePane="bottomRight" state="frozen"/>
      <selection pane="bottomRight" activeCell="L13" sqref="L13"/>
      <selection pane="bottomLeft" activeCell="E26" sqref="E26"/>
      <selection pane="topRight" activeCell="E26" sqref="E26"/>
    </sheetView>
  </sheetViews>
  <sheetFormatPr defaultColWidth="8" defaultRowHeight="14.1" outlineLevelRow="1"/>
  <cols>
    <col min="1" max="1" width="3.1640625" style="3" customWidth="1"/>
    <col min="2" max="2" width="1.6640625" style="3" customWidth="1"/>
    <col min="3" max="3" width="50.6640625" style="2" customWidth="1"/>
    <col min="4" max="7" width="26" style="2" customWidth="1"/>
    <col min="8" max="8" width="2.6640625" customWidth="1"/>
    <col min="9" max="112" width="8" style="1" customWidth="1"/>
    <col min="113" max="16384" width="8" style="1"/>
  </cols>
  <sheetData>
    <row r="1" spans="1:8">
      <c r="A1" s="54"/>
      <c r="B1" s="54"/>
      <c r="C1" s="58"/>
      <c r="D1" s="58"/>
      <c r="E1" s="58"/>
      <c r="F1" s="58"/>
      <c r="G1" s="58"/>
    </row>
    <row r="2" spans="1:8">
      <c r="A2" s="54"/>
      <c r="B2" s="54"/>
      <c r="C2" s="57" t="s">
        <v>0</v>
      </c>
      <c r="D2" s="57"/>
      <c r="E2" s="57"/>
      <c r="F2" s="57"/>
      <c r="G2" s="57"/>
    </row>
    <row r="3" spans="1:8" ht="11.25" customHeight="1">
      <c r="A3" s="54"/>
      <c r="B3" s="54"/>
      <c r="C3" s="56" t="s">
        <v>1</v>
      </c>
      <c r="D3" s="56"/>
      <c r="E3" s="56"/>
      <c r="F3" s="56"/>
      <c r="G3" s="56"/>
    </row>
    <row r="4" spans="1:8">
      <c r="A4" s="54"/>
      <c r="B4" s="54"/>
      <c r="C4" s="55"/>
      <c r="D4" s="55"/>
      <c r="E4" s="55"/>
      <c r="F4" s="55"/>
      <c r="G4" s="55"/>
    </row>
    <row r="5" spans="1:8" ht="13.5" customHeight="1">
      <c r="A5" s="54"/>
      <c r="B5" s="53"/>
      <c r="C5" s="4"/>
      <c r="D5" s="4"/>
      <c r="E5" s="4"/>
      <c r="F5" s="4"/>
      <c r="G5" s="4"/>
    </row>
    <row r="6" spans="1:8">
      <c r="A6" s="54"/>
      <c r="B6" s="53"/>
      <c r="C6" s="4"/>
      <c r="D6" s="4"/>
      <c r="E6" s="4"/>
      <c r="F6" s="4"/>
      <c r="G6" s="4"/>
    </row>
    <row r="7" spans="1:8">
      <c r="B7" s="52"/>
      <c r="C7" s="51"/>
      <c r="D7" s="51"/>
      <c r="E7" s="51"/>
      <c r="F7" s="51"/>
      <c r="G7" s="51"/>
    </row>
    <row r="8" spans="1:8">
      <c r="C8" s="50" t="s">
        <v>2</v>
      </c>
      <c r="D8" s="49">
        <v>2022</v>
      </c>
      <c r="E8" s="49">
        <v>2023</v>
      </c>
      <c r="F8" s="49">
        <v>2024</v>
      </c>
      <c r="G8" s="49">
        <f>+F8+1</f>
        <v>2025</v>
      </c>
    </row>
    <row r="9" spans="1:8">
      <c r="A9" s="3" t="s">
        <v>3</v>
      </c>
      <c r="B9" s="3" t="s">
        <v>3</v>
      </c>
      <c r="C9" s="10" t="s">
        <v>4</v>
      </c>
      <c r="D9" s="10"/>
      <c r="E9" s="10"/>
      <c r="F9" s="10"/>
      <c r="G9" s="10"/>
    </row>
    <row r="10" spans="1:8">
      <c r="C10" s="9"/>
      <c r="D10" s="9"/>
      <c r="E10" s="9"/>
      <c r="F10" s="9"/>
      <c r="G10" s="9"/>
    </row>
    <row r="11" spans="1:8" s="3" customFormat="1">
      <c r="B11" s="3" t="s">
        <v>3</v>
      </c>
      <c r="C11" s="15" t="s">
        <v>5</v>
      </c>
      <c r="D11" s="15"/>
      <c r="E11" s="15"/>
      <c r="F11" s="15"/>
      <c r="G11" s="15"/>
      <c r="H11"/>
    </row>
    <row r="12" spans="1:8" s="3" customFormat="1" outlineLevel="1">
      <c r="C12" s="48" t="s">
        <v>6</v>
      </c>
      <c r="D12" s="8" cm="1">
        <f t="array" aca="1" ref="D12" ca="1">(_xlfn.XLOOKUP($C12,'[1]Commercialization Co.'!$C$11:$C$158,'[1]Commercialization Co.'!D$11:D$158,_xleta.N/A,0))+(_xlfn.XLOOKUP(EERR!$C12,'[1]Manufacturing Co.'!$C$11:$C$140,'[1]Manufacturing Co.'!D$11:D$140,_xleta.N/A,0))+(_xlfn.XLOOKUP(EERR!$C12,'[1]Admin Co.'!$C$11:$C$138,'[1]Admin Co.'!D$11:D$138,_xleta.N/A,0))</f>
        <v>2119898357.45</v>
      </c>
      <c r="E12" s="8" cm="1">
        <f t="array" aca="1" ref="E12" ca="1">(_xlfn.XLOOKUP($C12,'[1]Commercialization Co.'!$C$11:$C$158,'[1]Commercialization Co.'!E$11:E$158,_xleta.N/A,0))+(_xlfn.XLOOKUP(EERR!$C12,'[1]Manufacturing Co.'!$C$11:$C$140,'[1]Manufacturing Co.'!E$11:E$140,_xleta.N/A,0))+(_xlfn.XLOOKUP(EERR!$C12,'[1]Admin Co.'!$C$11:$C$138,'[1]Admin Co.'!E$11:E$138,_xleta.N/A,0))</f>
        <v>2607221883.2000003</v>
      </c>
      <c r="F12" s="8" cm="1">
        <f t="array" aca="1" ref="F12" ca="1">(_xlfn.XLOOKUP($C12,'[1]Commercialization Co.'!$C$11:$C$158,'[1]Commercialization Co.'!F$11:F$158,_xleta.N/A,0))+(_xlfn.XLOOKUP(EERR!$C12,'[1]Manufacturing Co.'!$C$11:$C$140,'[1]Manufacturing Co.'!F$11:F$140,_xleta.N/A,0))+(_xlfn.XLOOKUP(EERR!$C12,'[1]Admin Co.'!$C$11:$C$138,'[1]Admin Co.'!F$11:F$138,_xleta.N/A,0))</f>
        <v>2677831624.4299998</v>
      </c>
      <c r="G12" s="8" cm="1">
        <f t="array" aca="1" ref="G12" ca="1">(_xlfn.XLOOKUP($C12,'[1]Commercialization Co.'!$C$11:$C$158,'[1]Commercialization Co.'!G$11:G$158,_xleta.N/A,0))+(_xlfn.XLOOKUP(EERR!$C12,'[1]Manufacturing Co.'!$C$11:$C$140,'[1]Manufacturing Co.'!G$11:G$140,_xleta.N/A,0))+(_xlfn.XLOOKUP(EERR!$C12,'[1]Admin Co.'!$C$11:$C$138,'[1]Admin Co.'!G$11:G$138,_xleta.N/A,0))</f>
        <v>2403004678.2399998</v>
      </c>
      <c r="H12" s="44"/>
    </row>
    <row r="13" spans="1:8" s="3" customFormat="1" outlineLevel="1">
      <c r="C13" s="34" t="s">
        <v>7</v>
      </c>
      <c r="D13" s="8" cm="1">
        <f t="array" aca="1" ref="D13" ca="1">(_xlfn.XLOOKUP($C13,'[1]Commercialization Co.'!$C$11:$C$158,'[1]Commercialization Co.'!D$11:D$158,_xleta.N/A,0))+(_xlfn.XLOOKUP(EERR!$C13,'[1]Manufacturing Co.'!$C$11:$C$140,'[1]Manufacturing Co.'!D$11:D$140,_xleta.N/A,0))+(_xlfn.XLOOKUP(EERR!$C13,'[1]Admin Co.'!$C$11:$C$138,'[1]Admin Co.'!D$11:D$138,_xleta.N/A,0))</f>
        <v>-142902864.54000002</v>
      </c>
      <c r="E13" s="8" cm="1">
        <f t="array" aca="1" ref="E13" ca="1">(_xlfn.XLOOKUP($C13,'[1]Commercialization Co.'!$C$11:$C$158,'[1]Commercialization Co.'!E$11:E$158,_xleta.N/A,0))+(_xlfn.XLOOKUP(EERR!$C13,'[1]Manufacturing Co.'!$C$11:$C$140,'[1]Manufacturing Co.'!E$11:E$140,_xleta.N/A,0))+(_xlfn.XLOOKUP(EERR!$C13,'[1]Admin Co.'!$C$11:$C$138,'[1]Admin Co.'!E$11:E$138,_xleta.N/A,0))</f>
        <v>-199374952.18000001</v>
      </c>
      <c r="F13" s="8" cm="1">
        <f t="array" aca="1" ref="F13" ca="1">(_xlfn.XLOOKUP($C13,'[1]Commercialization Co.'!$C$11:$C$158,'[1]Commercialization Co.'!F$11:F$158,_xleta.N/A,0))+(_xlfn.XLOOKUP(EERR!$C13,'[1]Manufacturing Co.'!$C$11:$C$140,'[1]Manufacturing Co.'!F$11:F$140,_xleta.N/A,0))+(_xlfn.XLOOKUP(EERR!$C13,'[1]Admin Co.'!$C$11:$C$138,'[1]Admin Co.'!F$11:F$138,_xleta.N/A,0))</f>
        <v>-304219365.67000002</v>
      </c>
      <c r="G13" s="8" cm="1">
        <f t="array" aca="1" ref="G13" ca="1">(_xlfn.XLOOKUP($C13,'[1]Commercialization Co.'!$C$11:$C$158,'[1]Commercialization Co.'!G$11:G$158,_xleta.N/A,0))+(_xlfn.XLOOKUP(EERR!$C13,'[1]Manufacturing Co.'!$C$11:$C$140,'[1]Manufacturing Co.'!G$11:G$140,_xleta.N/A,0))+(_xlfn.XLOOKUP(EERR!$C13,'[1]Admin Co.'!$C$11:$C$138,'[1]Admin Co.'!G$11:G$138,_xleta.N/A,0))</f>
        <v>-268913151.63</v>
      </c>
      <c r="H13" s="44"/>
    </row>
    <row r="14" spans="1:8" s="3" customFormat="1" outlineLevel="1">
      <c r="C14" s="34" t="s">
        <v>8</v>
      </c>
      <c r="D14" s="12">
        <f>[1]InterCompany!D14</f>
        <v>-39600000</v>
      </c>
      <c r="E14" s="12">
        <f>[1]InterCompany!E14</f>
        <v>-74640000</v>
      </c>
      <c r="F14" s="12">
        <f>[1]InterCompany!F14</f>
        <v>-77718000</v>
      </c>
      <c r="G14" s="12">
        <f>[1]InterCompany!G14</f>
        <v>-102367200</v>
      </c>
      <c r="H14" s="44"/>
    </row>
    <row r="15" spans="1:8" s="3" customFormat="1" outlineLevel="1">
      <c r="C15" s="34" t="s">
        <v>9</v>
      </c>
      <c r="D15" s="12">
        <f>[1]InterCompany!D15</f>
        <v>-161675705.75999999</v>
      </c>
      <c r="E15" s="12">
        <f>[1]InterCompany!E15</f>
        <v>-219370912.28999999</v>
      </c>
      <c r="F15" s="12">
        <f>[1]InterCompany!F15</f>
        <v>-245187989.84999999</v>
      </c>
      <c r="G15" s="12">
        <f>[1]InterCompany!G15</f>
        <v>-225207470.86000001</v>
      </c>
      <c r="H15" s="44"/>
    </row>
    <row r="16" spans="1:8" s="3" customFormat="1">
      <c r="C16" s="24" t="s">
        <v>10</v>
      </c>
      <c r="D16" s="23">
        <f ca="1">SUM(D12:D15)</f>
        <v>1775719787.1500001</v>
      </c>
      <c r="E16" s="23">
        <f ca="1">SUM(E12:E15)</f>
        <v>2113836018.7300005</v>
      </c>
      <c r="F16" s="23">
        <f ca="1">SUM(F12:F15)</f>
        <v>2050706268.9099998</v>
      </c>
      <c r="G16" s="23">
        <f ca="1">SUM(G12:G15)</f>
        <v>1806516855.7499995</v>
      </c>
      <c r="H16" s="38"/>
    </row>
    <row r="17" spans="1:8">
      <c r="C17" s="22" t="s">
        <v>11</v>
      </c>
      <c r="D17" s="20" t="str">
        <f ca="1">+IFERROR((D16/C16)-1,"NA")</f>
        <v>NA</v>
      </c>
      <c r="E17" s="20">
        <f ca="1">+IFERROR((E16/D16)-1,"NA")</f>
        <v>0.19041080356640672</v>
      </c>
      <c r="F17" s="20">
        <f ca="1">+IFERROR((F16/E16)-1,"NA")</f>
        <v>-2.9865017560789409E-2</v>
      </c>
      <c r="G17" s="20">
        <f ca="1">+IFERROR((G16/F16)-1,"NA")</f>
        <v>-0.11907576275650289</v>
      </c>
      <c r="H17" s="20"/>
    </row>
    <row r="18" spans="1:8" s="45" customFormat="1">
      <c r="A18" s="47"/>
      <c r="B18" s="47"/>
      <c r="C18" s="46"/>
      <c r="D18" s="46"/>
      <c r="E18" s="46"/>
      <c r="F18" s="46"/>
      <c r="G18" s="46"/>
      <c r="H18"/>
    </row>
    <row r="19" spans="1:8" s="3" customFormat="1">
      <c r="B19" s="3" t="s">
        <v>3</v>
      </c>
      <c r="C19" s="15" t="s">
        <v>12</v>
      </c>
      <c r="D19" s="15"/>
      <c r="E19" s="15"/>
      <c r="F19" s="7"/>
      <c r="G19" s="7"/>
      <c r="H19"/>
    </row>
    <row r="20" spans="1:8" s="3" customFormat="1">
      <c r="C20" s="26" t="s">
        <v>13</v>
      </c>
      <c r="D20" s="8">
        <f>_xlfn.XLOOKUP($C20,'[1]Commercialization Co.'!$C$9:$C$171,'[1]Commercialization Co.'!D$9:D$171,0,0)+(_xlfn.XLOOKUP($C20,'[1]Manufacturing Co.'!$C$9:$C$147,'[1]Manufacturing Co.'!D$9:D$147,0,0))+(_xlfn.XLOOKUP($C20,'[1]Admin Co.'!$C$9:$C$148,'[1]Admin Co.'!D$9:D$148,0,0))</f>
        <v>-1132956803.4100001</v>
      </c>
      <c r="E20" s="8">
        <f>_xlfn.XLOOKUP($C20,'[1]Commercialization Co.'!$C$9:$C$171,'[1]Commercialization Co.'!E$9:E$171,0,0)+(_xlfn.XLOOKUP($C20,'[1]Manufacturing Co.'!$C$9:$C$147,'[1]Manufacturing Co.'!E$9:E$147,0,0))+(_xlfn.XLOOKUP($C20,'[1]Admin Co.'!$C$9:$C$148,'[1]Admin Co.'!E$9:E$148,0,0))</f>
        <v>-1225164374.1100001</v>
      </c>
      <c r="F20" s="8">
        <f>_xlfn.XLOOKUP($C20,'[1]Commercialization Co.'!$C$9:$C$171,'[1]Commercialization Co.'!F$9:F$171,0,0)+(_xlfn.XLOOKUP($C20,'[1]Manufacturing Co.'!$C$9:$C$147,'[1]Manufacturing Co.'!F$9:F$147,0,0))+(_xlfn.XLOOKUP($C20,'[1]Admin Co.'!$C$9:$C$148,'[1]Admin Co.'!F$9:F$148,0,0))</f>
        <v>-1245801444.76</v>
      </c>
      <c r="G20" s="8">
        <f>_xlfn.XLOOKUP($C20,'[1]Commercialization Co.'!$C$9:$C$171,'[1]Commercialization Co.'!G$9:G$171,0,0)+(_xlfn.XLOOKUP($C20,'[1]Manufacturing Co.'!$C$9:$C$147,'[1]Manufacturing Co.'!G$9:G$147,0,0))+(_xlfn.XLOOKUP($C20,'[1]Admin Co.'!$C$9:$C$148,'[1]Admin Co.'!G$9:G$148,0,0))</f>
        <v>-1101531104.8399999</v>
      </c>
      <c r="H20" s="44"/>
    </row>
    <row r="21" spans="1:8" s="3" customFormat="1">
      <c r="C21" s="26" t="s">
        <v>14</v>
      </c>
      <c r="D21" s="8">
        <f>_xlfn.XLOOKUP($C21,'[1]Commercialization Co.'!$C$9:$C$171,'[1]Commercialization Co.'!D$9:D$171,0,0)+(_xlfn.XLOOKUP($C21,'[1]Manufacturing Co.'!$C$9:$C$147,'[1]Manufacturing Co.'!D$9:D$147,0,0))+(_xlfn.XLOOKUP($C21,'[1]Admin Co.'!$C$9:$C$148,'[1]Admin Co.'!D$9:D$148,0,0))</f>
        <v>0</v>
      </c>
      <c r="E21" s="8">
        <f>_xlfn.XLOOKUP($C21,'[1]Commercialization Co.'!$C$9:$C$171,'[1]Commercialization Co.'!E$9:E$171,0,0)+(_xlfn.XLOOKUP($C21,'[1]Manufacturing Co.'!$C$9:$C$147,'[1]Manufacturing Co.'!E$9:E$147,0,0))+(_xlfn.XLOOKUP($C21,'[1]Admin Co.'!$C$9:$C$148,'[1]Admin Co.'!E$9:E$148,0,0))</f>
        <v>0</v>
      </c>
      <c r="F21" s="8">
        <f>_xlfn.XLOOKUP($C21,'[1]Commercialization Co.'!$C$9:$C$171,'[1]Commercialization Co.'!F$9:F$171,0,0)+(_xlfn.XLOOKUP($C21,'[1]Manufacturing Co.'!$C$9:$C$147,'[1]Manufacturing Co.'!F$9:F$147,0,0))+(_xlfn.XLOOKUP($C21,'[1]Admin Co.'!$C$9:$C$148,'[1]Admin Co.'!F$9:F$148,0,0))</f>
        <v>0</v>
      </c>
      <c r="G21" s="8">
        <f>_xlfn.XLOOKUP($C21,'[1]Commercialization Co.'!$C$9:$C$171,'[1]Commercialization Co.'!G$9:G$171,0,0)+(_xlfn.XLOOKUP($C21,'[1]Manufacturing Co.'!$C$9:$C$147,'[1]Manufacturing Co.'!G$9:G$147,0,0))+(_xlfn.XLOOKUP($C21,'[1]Admin Co.'!$C$9:$C$148,'[1]Admin Co.'!G$9:G$148,0,0))</f>
        <v>0</v>
      </c>
      <c r="H21" s="44"/>
    </row>
    <row r="22" spans="1:8" s="3" customFormat="1">
      <c r="C22" s="26" t="s">
        <v>15</v>
      </c>
      <c r="D22" s="8">
        <f>_xlfn.XLOOKUP($C22,'[1]Commercialization Co.'!$C$9:$C$171,'[1]Commercialization Co.'!D$9:D$171,0,0)+(_xlfn.XLOOKUP($C22,'[1]Manufacturing Co.'!$C$9:$C$147,'[1]Manufacturing Co.'!D$9:D$147,0,0))+(_xlfn.XLOOKUP($C22,'[1]Admin Co.'!$C$9:$C$148,'[1]Admin Co.'!D$9:D$148,0,0))</f>
        <v>-78765651.680000007</v>
      </c>
      <c r="E22" s="8">
        <f>_xlfn.XLOOKUP($C22,'[1]Commercialization Co.'!$C$9:$C$171,'[1]Commercialization Co.'!E$9:E$171,0,0)+(_xlfn.XLOOKUP($C22,'[1]Manufacturing Co.'!$C$9:$C$147,'[1]Manufacturing Co.'!E$9:E$147,0,0))+(_xlfn.XLOOKUP($C22,'[1]Admin Co.'!$C$9:$C$148,'[1]Admin Co.'!E$9:E$148,0,0))</f>
        <v>-149154472.03999996</v>
      </c>
      <c r="F22" s="8">
        <f>_xlfn.XLOOKUP($C22,'[1]Commercialization Co.'!$C$9:$C$171,'[1]Commercialization Co.'!F$9:F$171,0,0)+(_xlfn.XLOOKUP($C22,'[1]Manufacturing Co.'!$C$9:$C$147,'[1]Manufacturing Co.'!F$9:F$147,0,0))+(_xlfn.XLOOKUP($C22,'[1]Admin Co.'!$C$9:$C$148,'[1]Admin Co.'!F$9:F$148,0,0))</f>
        <v>-169724305.14000002</v>
      </c>
      <c r="G22" s="8">
        <f>_xlfn.XLOOKUP($C22,'[1]Commercialization Co.'!$C$9:$C$171,'[1]Commercialization Co.'!G$9:G$171,0,0)+(_xlfn.XLOOKUP($C22,'[1]Manufacturing Co.'!$C$9:$C$147,'[1]Manufacturing Co.'!G$9:G$147,0,0))+(_xlfn.XLOOKUP($C22,'[1]Admin Co.'!$C$9:$C$148,'[1]Admin Co.'!G$9:G$148,0,0))</f>
        <v>-137021281.84999999</v>
      </c>
      <c r="H22" s="44"/>
    </row>
    <row r="23" spans="1:8" s="3" customFormat="1">
      <c r="C23" s="26" t="s">
        <v>16</v>
      </c>
      <c r="D23" s="8">
        <f>_xlfn.XLOOKUP($C23,'[1]Commercialization Co.'!$C$9:$C$171,'[1]Commercialization Co.'!D$9:D$171,0,0)+(_xlfn.XLOOKUP($C23,'[1]Manufacturing Co.'!$C$9:$C$147,'[1]Manufacturing Co.'!D$9:D$147,0,0))+(_xlfn.XLOOKUP($C23,'[1]Admin Co.'!$C$9:$C$148,'[1]Admin Co.'!D$9:D$148,0,0))</f>
        <v>-36442614.110000014</v>
      </c>
      <c r="E23" s="8">
        <f>_xlfn.XLOOKUP($C23,'[1]Commercialization Co.'!$C$9:$C$171,'[1]Commercialization Co.'!E$9:E$171,0,0)+(_xlfn.XLOOKUP($C23,'[1]Manufacturing Co.'!$C$9:$C$147,'[1]Manufacturing Co.'!E$9:E$147,0,0))+(_xlfn.XLOOKUP($C23,'[1]Admin Co.'!$C$9:$C$148,'[1]Admin Co.'!E$9:E$148,0,0))</f>
        <v>-52271544.069999993</v>
      </c>
      <c r="F23" s="8">
        <f>_xlfn.XLOOKUP($C23,'[1]Commercialization Co.'!$C$9:$C$171,'[1]Commercialization Co.'!F$9:F$171,0,0)+(_xlfn.XLOOKUP($C23,'[1]Manufacturing Co.'!$C$9:$C$147,'[1]Manufacturing Co.'!F$9:F$147,0,0))+(_xlfn.XLOOKUP($C23,'[1]Admin Co.'!$C$9:$C$148,'[1]Admin Co.'!F$9:F$148,0,0))</f>
        <v>-56105757.839999996</v>
      </c>
      <c r="G23" s="8">
        <f>_xlfn.XLOOKUP($C23,'[1]Commercialization Co.'!$C$9:$C$171,'[1]Commercialization Co.'!G$9:G$171,0,0)+(_xlfn.XLOOKUP($C23,'[1]Manufacturing Co.'!$C$9:$C$147,'[1]Manufacturing Co.'!G$9:G$147,0,0))+(_xlfn.XLOOKUP($C23,'[1]Admin Co.'!$C$9:$C$148,'[1]Admin Co.'!G$9:G$148,0,0))</f>
        <v>-56931664.290000007</v>
      </c>
      <c r="H23" s="44"/>
    </row>
    <row r="24" spans="1:8" s="3" customFormat="1">
      <c r="C24" s="26" t="s">
        <v>17</v>
      </c>
      <c r="D24" s="8">
        <f>_xlfn.XLOOKUP($C24,'[1]Commercialization Co.'!$C$9:$C$171,'[1]Commercialization Co.'!D$9:D$171,0,0)+(_xlfn.XLOOKUP($C24,'[1]Manufacturing Co.'!$C$9:$C$147,'[1]Manufacturing Co.'!D$9:D$147,0,0))+(_xlfn.XLOOKUP($C24,'[1]Admin Co.'!$C$9:$C$148,'[1]Admin Co.'!D$9:D$148,0,0))</f>
        <v>-75809</v>
      </c>
      <c r="E24" s="8">
        <f>_xlfn.XLOOKUP($C24,'[1]Commercialization Co.'!$C$9:$C$171,'[1]Commercialization Co.'!E$9:E$171,0,0)+(_xlfn.XLOOKUP($C24,'[1]Manufacturing Co.'!$C$9:$C$147,'[1]Manufacturing Co.'!E$9:E$147,0,0))+(_xlfn.XLOOKUP($C24,'[1]Admin Co.'!$C$9:$C$148,'[1]Admin Co.'!E$9:E$148,0,0))</f>
        <v>-107093.26999999999</v>
      </c>
      <c r="F24" s="8">
        <f>_xlfn.XLOOKUP($C24,'[1]Commercialization Co.'!$C$9:$C$171,'[1]Commercialization Co.'!F$9:F$171,0,0)+(_xlfn.XLOOKUP($C24,'[1]Manufacturing Co.'!$C$9:$C$147,'[1]Manufacturing Co.'!F$9:F$147,0,0))+(_xlfn.XLOOKUP($C24,'[1]Admin Co.'!$C$9:$C$148,'[1]Admin Co.'!F$9:F$148,0,0))</f>
        <v>-107093.28</v>
      </c>
      <c r="G24" s="8">
        <f>_xlfn.XLOOKUP($C24,'[1]Commercialization Co.'!$C$9:$C$171,'[1]Commercialization Co.'!G$9:G$171,0,0)+(_xlfn.XLOOKUP($C24,'[1]Manufacturing Co.'!$C$9:$C$147,'[1]Manufacturing Co.'!G$9:G$147,0,0))+(_xlfn.XLOOKUP($C24,'[1]Admin Co.'!$C$9:$C$148,'[1]Admin Co.'!G$9:G$148,0,0))</f>
        <v>-131232.06</v>
      </c>
      <c r="H24" s="44"/>
    </row>
    <row r="25" spans="1:8" s="3" customFormat="1">
      <c r="C25" s="26" t="s">
        <v>18</v>
      </c>
      <c r="D25" s="8">
        <f>_xlfn.XLOOKUP($C25,'[1]Commercialization Co.'!$C$9:$C$171,'[1]Commercialization Co.'!D$9:D$171,0,0)+(_xlfn.XLOOKUP($C25,'[1]Manufacturing Co.'!$C$9:$C$147,'[1]Manufacturing Co.'!D$9:D$147,0,0))+(_xlfn.XLOOKUP($C25,'[1]Admin Co.'!$C$9:$C$148,'[1]Admin Co.'!D$9:D$148,0,0))</f>
        <v>-72407.490000000005</v>
      </c>
      <c r="E25" s="8">
        <f>_xlfn.XLOOKUP($C25,'[1]Commercialization Co.'!$C$9:$C$171,'[1]Commercialization Co.'!E$9:E$171,0,0)+(_xlfn.XLOOKUP($C25,'[1]Manufacturing Co.'!$C$9:$C$147,'[1]Manufacturing Co.'!E$9:E$147,0,0))+(_xlfn.XLOOKUP($C25,'[1]Admin Co.'!$C$9:$C$148,'[1]Admin Co.'!E$9:E$148,0,0))</f>
        <v>-788723.5</v>
      </c>
      <c r="F25" s="8">
        <f>_xlfn.XLOOKUP($C25,'[1]Commercialization Co.'!$C$9:$C$171,'[1]Commercialization Co.'!F$9:F$171,0,0)+(_xlfn.XLOOKUP($C25,'[1]Manufacturing Co.'!$C$9:$C$147,'[1]Manufacturing Co.'!F$9:F$147,0,0))+(_xlfn.XLOOKUP($C25,'[1]Admin Co.'!$C$9:$C$148,'[1]Admin Co.'!F$9:F$148,0,0))</f>
        <v>-1657542.15</v>
      </c>
      <c r="G25" s="8">
        <f>_xlfn.XLOOKUP($C25,'[1]Commercialization Co.'!$C$9:$C$171,'[1]Commercialization Co.'!G$9:G$171,0,0)+(_xlfn.XLOOKUP($C25,'[1]Manufacturing Co.'!$C$9:$C$147,'[1]Manufacturing Co.'!G$9:G$147,0,0))+(_xlfn.XLOOKUP($C25,'[1]Admin Co.'!$C$9:$C$148,'[1]Admin Co.'!G$9:G$148,0,0))</f>
        <v>-1964129.57</v>
      </c>
      <c r="H25" s="44"/>
    </row>
    <row r="26" spans="1:8" s="3" customFormat="1">
      <c r="C26" s="34" t="s">
        <v>19</v>
      </c>
      <c r="D26" s="12">
        <f>[1]InterCompany!D19</f>
        <v>161675705.75999999</v>
      </c>
      <c r="E26" s="12">
        <f>[1]InterCompany!E19</f>
        <v>219370912.28999999</v>
      </c>
      <c r="F26" s="12">
        <f>[1]InterCompany!F19</f>
        <v>245187989.84999999</v>
      </c>
      <c r="G26" s="12">
        <f>[1]InterCompany!G19</f>
        <v>225207470.86000001</v>
      </c>
      <c r="H26" s="44"/>
    </row>
    <row r="27" spans="1:8" s="3" customFormat="1">
      <c r="C27" s="34" t="s">
        <v>20</v>
      </c>
      <c r="D27" s="12">
        <f>[1]InterCompany!D20</f>
        <v>22359567.039999999</v>
      </c>
      <c r="E27" s="12">
        <f>[1]InterCompany!E20</f>
        <v>24655710.649999999</v>
      </c>
      <c r="F27" s="12">
        <f>[1]InterCompany!F20</f>
        <v>25814623.559999999</v>
      </c>
      <c r="G27" s="12">
        <f>[1]InterCompany!G20</f>
        <v>23314412.32</v>
      </c>
      <c r="H27" s="44"/>
    </row>
    <row r="28" spans="1:8" s="3" customFormat="1">
      <c r="C28" s="24" t="s">
        <v>21</v>
      </c>
      <c r="D28" s="23">
        <f>SUM(D20:D27)</f>
        <v>-1064278012.8900003</v>
      </c>
      <c r="E28" s="23">
        <f>SUM(E20:E27)</f>
        <v>-1183459584.05</v>
      </c>
      <c r="F28" s="23">
        <f>SUM(F20:F27)</f>
        <v>-1202393529.7600002</v>
      </c>
      <c r="G28" s="23">
        <f>SUM(G20:G27)</f>
        <v>-1049057529.4299996</v>
      </c>
      <c r="H28" s="38"/>
    </row>
    <row r="29" spans="1:8">
      <c r="C29" s="17"/>
      <c r="D29" s="32"/>
      <c r="E29" s="32"/>
      <c r="F29" s="32"/>
      <c r="G29" s="32"/>
      <c r="H29" s="38"/>
    </row>
    <row r="30" spans="1:8" s="3" customFormat="1">
      <c r="C30" s="24" t="s">
        <v>22</v>
      </c>
      <c r="D30" s="43">
        <f ca="1">D28+D16</f>
        <v>711441774.25999975</v>
      </c>
      <c r="E30" s="43">
        <f ca="1">E28+E16</f>
        <v>930376434.68000054</v>
      </c>
      <c r="F30" s="43">
        <f ca="1">F28+F16</f>
        <v>848312739.14999962</v>
      </c>
      <c r="G30" s="43">
        <f ca="1">G28+G16</f>
        <v>757459326.31999993</v>
      </c>
      <c r="H30" s="38"/>
    </row>
    <row r="31" spans="1:8" s="3" customFormat="1">
      <c r="C31" s="22" t="s">
        <v>23</v>
      </c>
      <c r="D31" s="20">
        <f ca="1">D30/D$16</f>
        <v>0.40064979813163631</v>
      </c>
      <c r="E31" s="20">
        <f ca="1">E30/E$16</f>
        <v>0.44013652262344061</v>
      </c>
      <c r="F31" s="20">
        <f ca="1">F30/F$16</f>
        <v>0.41366857458376932</v>
      </c>
      <c r="G31" s="20">
        <f ca="1">G30/G$16</f>
        <v>0.4192926979391679</v>
      </c>
      <c r="H31"/>
    </row>
    <row r="32" spans="1:8">
      <c r="B32" s="42"/>
      <c r="C32" s="37"/>
      <c r="D32" s="37"/>
      <c r="E32" s="37"/>
      <c r="F32" s="37"/>
      <c r="G32" s="41"/>
    </row>
    <row r="33" spans="2:8">
      <c r="B33" s="3" t="s">
        <v>3</v>
      </c>
      <c r="C33" s="15" t="s">
        <v>24</v>
      </c>
      <c r="D33" s="41"/>
      <c r="E33" s="41"/>
      <c r="F33" s="41"/>
      <c r="G33" s="41"/>
    </row>
    <row r="34" spans="2:8">
      <c r="C34" s="26" t="s">
        <v>25</v>
      </c>
      <c r="D34" s="8">
        <f>_xlfn.XLOOKUP($C34,'[1]Commercialization Co.'!$C$9:$C$171,'[1]Commercialization Co.'!D$9:D$171,0,0)+(_xlfn.XLOOKUP($C34,'[1]Manufacturing Co.'!$C$9:$C$147,'[1]Manufacturing Co.'!D$9:D$147,0,0))+(_xlfn.XLOOKUP($C34,'[1]Admin Co.'!$C$9:$C$148,'[1]Admin Co.'!D$9:D$148,0,0))</f>
        <v>13784637.800000012</v>
      </c>
      <c r="E34" s="8">
        <f>_xlfn.XLOOKUP($C34,'[1]Commercialization Co.'!$C$9:$C$171,'[1]Commercialization Co.'!E$9:E$171,0,0)+(_xlfn.XLOOKUP($C34,'[1]Manufacturing Co.'!$C$9:$C$147,'[1]Manufacturing Co.'!E$9:E$147,0,0))+(_xlfn.XLOOKUP($C34,'[1]Admin Co.'!$C$9:$C$148,'[1]Admin Co.'!E$9:E$148,0,0))</f>
        <v>27423614.939999998</v>
      </c>
      <c r="F34" s="8">
        <f>_xlfn.XLOOKUP($C34,'[1]Commercialization Co.'!$C$9:$C$171,'[1]Commercialization Co.'!F$9:F$171,0,0)+(_xlfn.XLOOKUP($C34,'[1]Manufacturing Co.'!$C$9:$C$147,'[1]Manufacturing Co.'!F$9:F$147,0,0))+(_xlfn.XLOOKUP($C34,'[1]Admin Co.'!$C$9:$C$148,'[1]Admin Co.'!F$9:F$148,0,0))</f>
        <v>32887233.960000008</v>
      </c>
      <c r="G34" s="8">
        <f>_xlfn.XLOOKUP($C34,'[1]Commercialization Co.'!$C$9:$C$171,'[1]Commercialization Co.'!G$9:G$171,0,0)+(_xlfn.XLOOKUP($C34,'[1]Manufacturing Co.'!$C$9:$C$147,'[1]Manufacturing Co.'!G$9:G$147,0,0))+(_xlfn.XLOOKUP($C34,'[1]Admin Co.'!$C$9:$C$148,'[1]Admin Co.'!G$9:G$148,0,0))</f>
        <v>-53025904.73999998</v>
      </c>
      <c r="H34" s="40"/>
    </row>
    <row r="35" spans="2:8">
      <c r="C35" s="26" t="s">
        <v>26</v>
      </c>
      <c r="D35" s="8">
        <f>_xlfn.XLOOKUP($C35,'[1]Commercialization Co.'!$C$9:$C$171,'[1]Commercialization Co.'!D$9:D$171,0,0)+(_xlfn.XLOOKUP($C35,'[1]Manufacturing Co.'!$C$9:$C$147,'[1]Manufacturing Co.'!D$9:D$147,0,0))+(_xlfn.XLOOKUP($C35,'[1]Admin Co.'!$C$9:$C$148,'[1]Admin Co.'!D$9:D$148,0,0))</f>
        <v>-51807171.499999993</v>
      </c>
      <c r="E35" s="8">
        <f>_xlfn.XLOOKUP($C35,'[1]Commercialization Co.'!$C$9:$C$171,'[1]Commercialization Co.'!E$9:E$171,0,0)+(_xlfn.XLOOKUP($C35,'[1]Manufacturing Co.'!$C$9:$C$147,'[1]Manufacturing Co.'!E$9:E$147,0,0))+(_xlfn.XLOOKUP($C35,'[1]Admin Co.'!$C$9:$C$148,'[1]Admin Co.'!E$9:E$148,0,0))</f>
        <v>-61739772.829999991</v>
      </c>
      <c r="F35" s="8">
        <f>_xlfn.XLOOKUP($C35,'[1]Commercialization Co.'!$C$9:$C$171,'[1]Commercialization Co.'!F$9:F$171,0,0)+(_xlfn.XLOOKUP($C35,'[1]Manufacturing Co.'!$C$9:$C$147,'[1]Manufacturing Co.'!F$9:F$147,0,0))+(_xlfn.XLOOKUP($C35,'[1]Admin Co.'!$C$9:$C$148,'[1]Admin Co.'!F$9:F$148,0,0))</f>
        <v>-100345564.58999996</v>
      </c>
      <c r="G35" s="8">
        <f>_xlfn.XLOOKUP($C35,'[1]Commercialization Co.'!$C$9:$C$171,'[1]Commercialization Co.'!G$9:G$171,0,0)+(_xlfn.XLOOKUP($C35,'[1]Manufacturing Co.'!$C$9:$C$147,'[1]Manufacturing Co.'!G$9:G$147,0,0))+(_xlfn.XLOOKUP($C35,'[1]Admin Co.'!$C$9:$C$148,'[1]Admin Co.'!G$9:G$148,0,0))</f>
        <v>-78927213.409999996</v>
      </c>
      <c r="H35" s="40"/>
    </row>
    <row r="36" spans="2:8">
      <c r="C36" s="34" t="s">
        <v>27</v>
      </c>
      <c r="D36" s="8">
        <f>_xlfn.XLOOKUP($C36,'[1]Commercialization Co.'!$C$9:$C$171,'[1]Commercialization Co.'!D$9:D$171,0,0)+(_xlfn.XLOOKUP($C36,'[1]Manufacturing Co.'!$C$9:$C$147,'[1]Manufacturing Co.'!D$9:D$147,0,0))+(_xlfn.XLOOKUP($C36,'[1]Admin Co.'!$C$9:$C$148,'[1]Admin Co.'!D$9:D$148,0,0))</f>
        <v>-172651133.63999999</v>
      </c>
      <c r="E36" s="8">
        <f>_xlfn.XLOOKUP($C36,'[1]Commercialization Co.'!$C$9:$C$171,'[1]Commercialization Co.'!E$9:E$171,0,0)+(_xlfn.XLOOKUP($C36,'[1]Manufacturing Co.'!$C$9:$C$147,'[1]Manufacturing Co.'!E$9:E$147,0,0))+(_xlfn.XLOOKUP($C36,'[1]Admin Co.'!$C$9:$C$148,'[1]Admin Co.'!E$9:E$148,0,0))</f>
        <v>-170095859.63999999</v>
      </c>
      <c r="F36" s="8">
        <f>_xlfn.XLOOKUP($C36,'[1]Commercialization Co.'!$C$9:$C$171,'[1]Commercialization Co.'!F$9:F$171,0,0)+(_xlfn.XLOOKUP($C36,'[1]Manufacturing Co.'!$C$9:$C$147,'[1]Manufacturing Co.'!F$9:F$147,0,0))+(_xlfn.XLOOKUP($C36,'[1]Admin Co.'!$C$9:$C$148,'[1]Admin Co.'!F$9:F$148,0,0))</f>
        <v>-156561289.04000002</v>
      </c>
      <c r="G36" s="8">
        <f>_xlfn.XLOOKUP($C36,'[1]Commercialization Co.'!$C$9:$C$171,'[1]Commercialization Co.'!G$9:G$171,0,0)+(_xlfn.XLOOKUP($C36,'[1]Manufacturing Co.'!$C$9:$C$147,'[1]Manufacturing Co.'!G$9:G$147,0,0))+(_xlfn.XLOOKUP($C36,'[1]Admin Co.'!$C$9:$C$148,'[1]Admin Co.'!G$9:G$148,0,0))</f>
        <v>-140226566.68000001</v>
      </c>
      <c r="H36" s="40"/>
    </row>
    <row r="37" spans="2:8">
      <c r="C37" s="26" t="s">
        <v>28</v>
      </c>
      <c r="D37" s="8">
        <f>_xlfn.XLOOKUP($C37,'[1]Commercialization Co.'!$C$9:$C$171,'[1]Commercialization Co.'!D$9:D$171,0,0)+(_xlfn.XLOOKUP($C37,'[1]Manufacturing Co.'!$C$9:$C$147,'[1]Manufacturing Co.'!D$9:D$147,0,0))+(_xlfn.XLOOKUP($C37,'[1]Admin Co.'!$C$9:$C$148,'[1]Admin Co.'!D$9:D$148,0,0))</f>
        <v>-87991670.50999999</v>
      </c>
      <c r="E37" s="8">
        <f>_xlfn.XLOOKUP($C37,'[1]Commercialization Co.'!$C$9:$C$171,'[1]Commercialization Co.'!E$9:E$171,0,0)+(_xlfn.XLOOKUP($C37,'[1]Manufacturing Co.'!$C$9:$C$147,'[1]Manufacturing Co.'!E$9:E$147,0,0))+(_xlfn.XLOOKUP($C37,'[1]Admin Co.'!$C$9:$C$148,'[1]Admin Co.'!E$9:E$148,0,0))</f>
        <v>-105167211.89000002</v>
      </c>
      <c r="F37" s="8">
        <f>_xlfn.XLOOKUP($C37,'[1]Commercialization Co.'!$C$9:$C$171,'[1]Commercialization Co.'!F$9:F$171,0,0)+(_xlfn.XLOOKUP($C37,'[1]Manufacturing Co.'!$C$9:$C$147,'[1]Manufacturing Co.'!F$9:F$147,0,0))+(_xlfn.XLOOKUP($C37,'[1]Admin Co.'!$C$9:$C$148,'[1]Admin Co.'!F$9:F$148,0,0))</f>
        <v>-121633948.38000003</v>
      </c>
      <c r="G37" s="8">
        <f>_xlfn.XLOOKUP($C37,'[1]Commercialization Co.'!$C$9:$C$171,'[1]Commercialization Co.'!G$9:G$171,0,0)+(_xlfn.XLOOKUP($C37,'[1]Manufacturing Co.'!$C$9:$C$147,'[1]Manufacturing Co.'!G$9:G$147,0,0))+(_xlfn.XLOOKUP($C37,'[1]Admin Co.'!$C$9:$C$148,'[1]Admin Co.'!G$9:G$148,0,0))</f>
        <v>-194061798.31999999</v>
      </c>
      <c r="H37" s="40"/>
    </row>
    <row r="38" spans="2:8">
      <c r="C38" s="26" t="s">
        <v>29</v>
      </c>
      <c r="D38" s="8">
        <f>_xlfn.XLOOKUP($C38,'[1]Commercialization Co.'!$C$9:$C$171,'[1]Commercialization Co.'!D$9:D$171,0,0)+(_xlfn.XLOOKUP($C38,'[1]Manufacturing Co.'!$C$9:$C$147,'[1]Manufacturing Co.'!D$9:D$147,0,0))+(_xlfn.XLOOKUP($C38,'[1]Admin Co.'!$C$9:$C$148,'[1]Admin Co.'!D$9:D$148,0,0))</f>
        <v>-4100087.24</v>
      </c>
      <c r="E38" s="8">
        <f>_xlfn.XLOOKUP($C38,'[1]Commercialization Co.'!$C$9:$C$171,'[1]Commercialization Co.'!E$9:E$171,0,0)+(_xlfn.XLOOKUP($C38,'[1]Manufacturing Co.'!$C$9:$C$147,'[1]Manufacturing Co.'!E$9:E$147,0,0))+(_xlfn.XLOOKUP($C38,'[1]Admin Co.'!$C$9:$C$148,'[1]Admin Co.'!E$9:E$148,0,0))</f>
        <v>-6267090.0999999996</v>
      </c>
      <c r="F38" s="8">
        <f>_xlfn.XLOOKUP($C38,'[1]Commercialization Co.'!$C$9:$C$171,'[1]Commercialization Co.'!F$9:F$171,0,0)+(_xlfn.XLOOKUP($C38,'[1]Manufacturing Co.'!$C$9:$C$147,'[1]Manufacturing Co.'!F$9:F$147,0,0))+(_xlfn.XLOOKUP($C38,'[1]Admin Co.'!$C$9:$C$148,'[1]Admin Co.'!F$9:F$148,0,0))</f>
        <v>-7941121.6200000001</v>
      </c>
      <c r="G38" s="8">
        <f>_xlfn.XLOOKUP($C38,'[1]Commercialization Co.'!$C$9:$C$171,'[1]Commercialization Co.'!G$9:G$171,0,0)+(_xlfn.XLOOKUP($C38,'[1]Manufacturing Co.'!$C$9:$C$147,'[1]Manufacturing Co.'!G$9:G$147,0,0))+(_xlfn.XLOOKUP($C38,'[1]Admin Co.'!$C$9:$C$148,'[1]Admin Co.'!G$9:G$148,0,0))</f>
        <v>-7198812.3400000008</v>
      </c>
      <c r="H38" s="40"/>
    </row>
    <row r="39" spans="2:8">
      <c r="C39" s="26" t="s">
        <v>30</v>
      </c>
      <c r="D39" s="8">
        <f>_xlfn.XLOOKUP($C39,'[1]Commercialization Co.'!$C$9:$C$171,'[1]Commercialization Co.'!D$9:D$171,0,0)+(_xlfn.XLOOKUP($C39,'[1]Manufacturing Co.'!$C$9:$C$147,'[1]Manufacturing Co.'!D$9:D$147,0,0))+(_xlfn.XLOOKUP($C39,'[1]Admin Co.'!$C$9:$C$148,'[1]Admin Co.'!D$9:D$148,0,0))</f>
        <v>-37543574.530000001</v>
      </c>
      <c r="E39" s="8">
        <f>_xlfn.XLOOKUP($C39,'[1]Commercialization Co.'!$C$9:$C$171,'[1]Commercialization Co.'!E$9:E$171,0,0)+(_xlfn.XLOOKUP($C39,'[1]Manufacturing Co.'!$C$9:$C$147,'[1]Manufacturing Co.'!E$9:E$147,0,0))+(_xlfn.XLOOKUP($C39,'[1]Admin Co.'!$C$9:$C$148,'[1]Admin Co.'!E$9:E$148,0,0))</f>
        <v>-54586270.259999998</v>
      </c>
      <c r="F39" s="8">
        <f>_xlfn.XLOOKUP($C39,'[1]Commercialization Co.'!$C$9:$C$171,'[1]Commercialization Co.'!F$9:F$171,0,0)+(_xlfn.XLOOKUP($C39,'[1]Manufacturing Co.'!$C$9:$C$147,'[1]Manufacturing Co.'!F$9:F$147,0,0))+(_xlfn.XLOOKUP($C39,'[1]Admin Co.'!$C$9:$C$148,'[1]Admin Co.'!F$9:F$148,0,0))</f>
        <v>-37786676.099999994</v>
      </c>
      <c r="G39" s="8">
        <f>_xlfn.XLOOKUP($C39,'[1]Commercialization Co.'!$C$9:$C$171,'[1]Commercialization Co.'!G$9:G$171,0,0)+(_xlfn.XLOOKUP($C39,'[1]Manufacturing Co.'!$C$9:$C$147,'[1]Manufacturing Co.'!G$9:G$147,0,0))+(_xlfn.XLOOKUP($C39,'[1]Admin Co.'!$C$9:$C$148,'[1]Admin Co.'!G$9:G$148,0,0))</f>
        <v>-35014244.00999999</v>
      </c>
      <c r="H39" s="40"/>
    </row>
    <row r="40" spans="2:8">
      <c r="C40" s="26" t="s">
        <v>31</v>
      </c>
      <c r="D40" s="8">
        <f>_xlfn.XLOOKUP($C40,'[1]Commercialization Co.'!$C$9:$C$171,'[1]Commercialization Co.'!D$9:D$171,0,0)+(_xlfn.XLOOKUP($C40,'[1]Manufacturing Co.'!$C$9:$C$147,'[1]Manufacturing Co.'!D$9:D$147,0,0))+(_xlfn.XLOOKUP($C40,'[1]Admin Co.'!$C$9:$C$148,'[1]Admin Co.'!D$9:D$148,0,0))</f>
        <v>-2782893.09</v>
      </c>
      <c r="E40" s="8">
        <f>_xlfn.XLOOKUP($C40,'[1]Commercialization Co.'!$C$9:$C$171,'[1]Commercialization Co.'!E$9:E$171,0,0)+(_xlfn.XLOOKUP($C40,'[1]Manufacturing Co.'!$C$9:$C$147,'[1]Manufacturing Co.'!E$9:E$147,0,0))+(_xlfn.XLOOKUP($C40,'[1]Admin Co.'!$C$9:$C$148,'[1]Admin Co.'!E$9:E$148,0,0))</f>
        <v>-2264368.0299999998</v>
      </c>
      <c r="F40" s="8">
        <f>_xlfn.XLOOKUP($C40,'[1]Commercialization Co.'!$C$9:$C$171,'[1]Commercialization Co.'!F$9:F$171,0,0)+(_xlfn.XLOOKUP($C40,'[1]Manufacturing Co.'!$C$9:$C$147,'[1]Manufacturing Co.'!F$9:F$147,0,0))+(_xlfn.XLOOKUP($C40,'[1]Admin Co.'!$C$9:$C$148,'[1]Admin Co.'!F$9:F$148,0,0))</f>
        <v>-2077479.99</v>
      </c>
      <c r="G40" s="8">
        <f>_xlfn.XLOOKUP($C40,'[1]Commercialization Co.'!$C$9:$C$171,'[1]Commercialization Co.'!G$9:G$171,0,0)+(_xlfn.XLOOKUP($C40,'[1]Manufacturing Co.'!$C$9:$C$147,'[1]Manufacturing Co.'!G$9:G$147,0,0))+(_xlfn.XLOOKUP($C40,'[1]Admin Co.'!$C$9:$C$148,'[1]Admin Co.'!G$9:G$148,0,0))</f>
        <v>-2229597.6800000002</v>
      </c>
      <c r="H40" s="40"/>
    </row>
    <row r="41" spans="2:8" outlineLevel="1">
      <c r="C41" s="26" t="s">
        <v>32</v>
      </c>
      <c r="D41" s="8">
        <f>_xlfn.XLOOKUP($C41,'[1]Commercialization Co.'!$C$9:$C$171,'[1]Commercialization Co.'!D$9:D$171,0,0)+(_xlfn.XLOOKUP($C41,'[1]Manufacturing Co.'!$C$9:$C$147,'[1]Manufacturing Co.'!D$9:D$147,0,0))+(_xlfn.XLOOKUP($C41,'[1]Admin Co.'!$C$9:$C$148,'[1]Admin Co.'!D$9:D$148,0,0))</f>
        <v>0</v>
      </c>
      <c r="E41" s="8">
        <f>_xlfn.XLOOKUP($C41,'[1]Commercialization Co.'!$C$9:$C$171,'[1]Commercialization Co.'!E$9:E$171,0,0)+(_xlfn.XLOOKUP($C41,'[1]Manufacturing Co.'!$C$9:$C$147,'[1]Manufacturing Co.'!E$9:E$147,0,0))+(_xlfn.XLOOKUP($C41,'[1]Admin Co.'!$C$9:$C$148,'[1]Admin Co.'!E$9:E$148,0,0))</f>
        <v>0</v>
      </c>
      <c r="F41" s="8">
        <f>_xlfn.XLOOKUP($C41,'[1]Commercialization Co.'!$C$9:$C$171,'[1]Commercialization Co.'!F$9:F$171,0,0)+(_xlfn.XLOOKUP($C41,'[1]Manufacturing Co.'!$C$9:$C$147,'[1]Manufacturing Co.'!F$9:F$147,0,0))+(_xlfn.XLOOKUP($C41,'[1]Admin Co.'!$C$9:$C$148,'[1]Admin Co.'!F$9:F$148,0,0))</f>
        <v>0</v>
      </c>
      <c r="G41" s="8">
        <f>_xlfn.XLOOKUP($C41,'[1]Commercialization Co.'!$C$9:$C$171,'[1]Commercialization Co.'!G$9:G$171,0,0)+(_xlfn.XLOOKUP($C41,'[1]Manufacturing Co.'!$C$9:$C$147,'[1]Manufacturing Co.'!G$9:G$147,0,0))+(_xlfn.XLOOKUP($C41,'[1]Admin Co.'!$C$9:$C$148,'[1]Admin Co.'!G$9:G$148,0,0))</f>
        <v>0</v>
      </c>
      <c r="H41" s="40"/>
    </row>
    <row r="42" spans="2:8">
      <c r="C42" s="34" t="s">
        <v>33</v>
      </c>
      <c r="D42" s="12">
        <f>[1]InterCompany!D24</f>
        <v>39600000</v>
      </c>
      <c r="E42" s="12">
        <f>[1]InterCompany!E24</f>
        <v>74640000</v>
      </c>
      <c r="F42" s="12">
        <f>[1]InterCompany!F24</f>
        <v>77718000</v>
      </c>
      <c r="G42" s="12">
        <f>[1]InterCompany!G24</f>
        <v>102367200</v>
      </c>
      <c r="H42" s="40"/>
    </row>
    <row r="43" spans="2:8">
      <c r="C43" s="34" t="s">
        <v>34</v>
      </c>
      <c r="D43" s="12">
        <f>[1]InterCompany!D25</f>
        <v>376690.44</v>
      </c>
      <c r="E43" s="12">
        <f>[1]InterCompany!E25</f>
        <v>389881.38</v>
      </c>
      <c r="F43" s="12">
        <f>[1]InterCompany!F25</f>
        <v>404284.8</v>
      </c>
      <c r="G43" s="12">
        <f>[1]InterCompany!G25</f>
        <v>422970.39</v>
      </c>
      <c r="H43" s="40"/>
    </row>
    <row r="44" spans="2:8" s="3" customFormat="1">
      <c r="C44" s="24" t="s">
        <v>35</v>
      </c>
      <c r="D44" s="23">
        <f>SUM(D34:D43)</f>
        <v>-303115202.26999998</v>
      </c>
      <c r="E44" s="23">
        <f>SUM(E34:E43)</f>
        <v>-297667076.42999995</v>
      </c>
      <c r="F44" s="23">
        <f>SUM(F34:F43)</f>
        <v>-315336560.95999998</v>
      </c>
      <c r="G44" s="23">
        <f>SUM(G34:G43)</f>
        <v>-407893966.78999996</v>
      </c>
      <c r="H44" s="38"/>
    </row>
    <row r="45" spans="2:8" s="3" customFormat="1">
      <c r="C45" s="39"/>
      <c r="D45" s="7"/>
      <c r="E45" s="7"/>
      <c r="F45" s="7"/>
      <c r="G45" s="7"/>
      <c r="H45" s="38"/>
    </row>
    <row r="46" spans="2:8" s="3" customFormat="1" collapsed="1">
      <c r="C46" s="30" t="s">
        <v>36</v>
      </c>
      <c r="D46" s="29">
        <f ca="1">D44+D30</f>
        <v>408326571.98999977</v>
      </c>
      <c r="E46" s="29">
        <f ca="1">E44+E30</f>
        <v>632709358.2500006</v>
      </c>
      <c r="F46" s="29">
        <f ca="1">F44+F30</f>
        <v>532976178.18999964</v>
      </c>
      <c r="G46" s="29">
        <f ca="1">G44+G30</f>
        <v>349565359.52999997</v>
      </c>
      <c r="H46" s="38"/>
    </row>
    <row r="47" spans="2:8" s="3" customFormat="1">
      <c r="C47" s="22" t="s">
        <v>37</v>
      </c>
      <c r="D47" s="20">
        <f ca="1">D46/D$16</f>
        <v>0.22994989127499499</v>
      </c>
      <c r="E47" s="20">
        <f ca="1">E46/E$16</f>
        <v>0.29931808931429527</v>
      </c>
      <c r="F47" s="20">
        <f ca="1">F46/F$16</f>
        <v>0.25989883888797466</v>
      </c>
      <c r="G47" s="20">
        <f ca="1">G46/G$16</f>
        <v>0.19350240680974617</v>
      </c>
      <c r="H47"/>
    </row>
    <row r="48" spans="2:8" s="3" customFormat="1">
      <c r="C48" s="13"/>
      <c r="D48" s="13"/>
      <c r="E48" s="13"/>
      <c r="F48" s="13"/>
      <c r="G48" s="37"/>
      <c r="H48"/>
    </row>
    <row r="49" spans="3:8" outlineLevel="1">
      <c r="C49" s="26" t="s">
        <v>38</v>
      </c>
      <c r="D49" s="8">
        <f>_xlfn.XLOOKUP($C49,'[1]Commercialization Co.'!$C$9:$C$171,'[1]Commercialization Co.'!D$9:D$171,0,0)+(_xlfn.XLOOKUP($C49,'[1]Manufacturing Co.'!$C$9:$C$147,'[1]Manufacturing Co.'!D$9:D$147,0,0))+(_xlfn.XLOOKUP($C49,'[1]Admin Co.'!$C$9:$C$148,'[1]Admin Co.'!D$9:D$148,0,0))</f>
        <v>19950754.98</v>
      </c>
      <c r="E49" s="8">
        <f>_xlfn.XLOOKUP($C49,'[1]Commercialization Co.'!$C$9:$C$171,'[1]Commercialization Co.'!E$9:E$171,0,0)+(_xlfn.XLOOKUP($C49,'[1]Manufacturing Co.'!$C$9:$C$147,'[1]Manufacturing Co.'!E$9:E$147,0,0))+(_xlfn.XLOOKUP($C49,'[1]Admin Co.'!$C$9:$C$148,'[1]Admin Co.'!E$9:E$148,0,0))</f>
        <v>42373785.249999993</v>
      </c>
      <c r="F49" s="8">
        <f>_xlfn.XLOOKUP($C49,'[1]Commercialization Co.'!$C$9:$C$171,'[1]Commercialization Co.'!F$9:F$171,0,0)+(_xlfn.XLOOKUP($C49,'[1]Manufacturing Co.'!$C$9:$C$147,'[1]Manufacturing Co.'!F$9:F$147,0,0))+(_xlfn.XLOOKUP($C49,'[1]Admin Co.'!$C$9:$C$148,'[1]Admin Co.'!F$9:F$148,0,0))</f>
        <v>69743195.769999996</v>
      </c>
      <c r="G49" s="8">
        <f>_xlfn.XLOOKUP($C49,'[1]Commercialization Co.'!$C$9:$C$171,'[1]Commercialization Co.'!G$9:G$171,0,0)+(_xlfn.XLOOKUP($C49,'[1]Manufacturing Co.'!$C$9:$C$147,'[1]Manufacturing Co.'!G$9:G$147,0,0))+(_xlfn.XLOOKUP($C49,'[1]Admin Co.'!$C$9:$C$148,'[1]Admin Co.'!G$9:G$148,0,0))</f>
        <v>67523190.310000002</v>
      </c>
      <c r="H49" s="12"/>
    </row>
    <row r="50" spans="3:8" outlineLevel="1">
      <c r="C50" s="26" t="s">
        <v>39</v>
      </c>
      <c r="D50" s="8">
        <f>_xlfn.XLOOKUP($C50,'[1]Commercialization Co.'!$C$9:$C$171,'[1]Commercialization Co.'!D$9:D$171,0,0)+(_xlfn.XLOOKUP($C50,'[1]Manufacturing Co.'!$C$9:$C$147,'[1]Manufacturing Co.'!D$9:D$147,0,0))+(_xlfn.XLOOKUP($C50,'[1]Admin Co.'!$C$9:$C$148,'[1]Admin Co.'!D$9:D$148,0,0))</f>
        <v>-1241187.43</v>
      </c>
      <c r="E50" s="8">
        <f>_xlfn.XLOOKUP($C50,'[1]Commercialization Co.'!$C$9:$C$171,'[1]Commercialization Co.'!E$9:E$171,0,0)+(_xlfn.XLOOKUP($C50,'[1]Manufacturing Co.'!$C$9:$C$147,'[1]Manufacturing Co.'!E$9:E$147,0,0))+(_xlfn.XLOOKUP($C50,'[1]Admin Co.'!$C$9:$C$148,'[1]Admin Co.'!E$9:E$148,0,0))</f>
        <v>-1235391.1099999999</v>
      </c>
      <c r="F50" s="8">
        <f>_xlfn.XLOOKUP($C50,'[1]Commercialization Co.'!$C$9:$C$171,'[1]Commercialization Co.'!F$9:F$171,0,0)+(_xlfn.XLOOKUP($C50,'[1]Manufacturing Co.'!$C$9:$C$147,'[1]Manufacturing Co.'!F$9:F$147,0,0))+(_xlfn.XLOOKUP($C50,'[1]Admin Co.'!$C$9:$C$148,'[1]Admin Co.'!F$9:F$148,0,0))</f>
        <v>-106947.13</v>
      </c>
      <c r="G50" s="8">
        <f>_xlfn.XLOOKUP($C50,'[1]Commercialization Co.'!$C$9:$C$171,'[1]Commercialization Co.'!G$9:G$171,0,0)+(_xlfn.XLOOKUP($C50,'[1]Manufacturing Co.'!$C$9:$C$147,'[1]Manufacturing Co.'!G$9:G$147,0,0))+(_xlfn.XLOOKUP($C50,'[1]Admin Co.'!$C$9:$C$148,'[1]Admin Co.'!G$9:G$148,0,0))</f>
        <v>-91896.25</v>
      </c>
      <c r="H50" s="12"/>
    </row>
    <row r="51" spans="3:8" outlineLevel="1">
      <c r="C51" s="26" t="s">
        <v>40</v>
      </c>
      <c r="D51" s="8">
        <f>_xlfn.XLOOKUP($C51,'[1]Commercialization Co.'!$C$9:$C$171,'[1]Commercialization Co.'!D$9:D$171,0,0)+(_xlfn.XLOOKUP($C51,'[1]Manufacturing Co.'!$C$9:$C$147,'[1]Manufacturing Co.'!D$9:D$147,0,0))+(_xlfn.XLOOKUP($C51,'[1]Admin Co.'!$C$9:$C$148,'[1]Admin Co.'!D$9:D$148,0,0))</f>
        <v>-369245.21000000078</v>
      </c>
      <c r="E51" s="8">
        <f>_xlfn.XLOOKUP($C51,'[1]Commercialization Co.'!$C$9:$C$171,'[1]Commercialization Co.'!E$9:E$171,0,0)+(_xlfn.XLOOKUP($C51,'[1]Manufacturing Co.'!$C$9:$C$147,'[1]Manufacturing Co.'!E$9:E$147,0,0))+(_xlfn.XLOOKUP($C51,'[1]Admin Co.'!$C$9:$C$148,'[1]Admin Co.'!E$9:E$148,0,0))</f>
        <v>-20938376.150000002</v>
      </c>
      <c r="F51" s="8">
        <f>_xlfn.XLOOKUP($C51,'[1]Commercialization Co.'!$C$9:$C$171,'[1]Commercialization Co.'!F$9:F$171,0,0)+(_xlfn.XLOOKUP($C51,'[1]Manufacturing Co.'!$C$9:$C$147,'[1]Manufacturing Co.'!F$9:F$147,0,0))+(_xlfn.XLOOKUP($C51,'[1]Admin Co.'!$C$9:$C$148,'[1]Admin Co.'!F$9:F$148,0,0))</f>
        <v>23804342.320000004</v>
      </c>
      <c r="G51" s="8">
        <f>_xlfn.XLOOKUP($C51,'[1]Commercialization Co.'!$C$9:$C$171,'[1]Commercialization Co.'!G$9:G$171,0,0)+(_xlfn.XLOOKUP($C51,'[1]Manufacturing Co.'!$C$9:$C$147,'[1]Manufacturing Co.'!G$9:G$147,0,0))+(_xlfn.XLOOKUP($C51,'[1]Admin Co.'!$C$9:$C$148,'[1]Admin Co.'!G$9:G$148,0,0))</f>
        <v>-27395301.699999999</v>
      </c>
      <c r="H51" s="11"/>
    </row>
    <row r="52" spans="3:8" outlineLevel="1">
      <c r="C52" s="36" t="s">
        <v>41</v>
      </c>
      <c r="D52" s="8">
        <f>_xlfn.XLOOKUP($C52,'[1]Commercialization Co.'!$C$9:$C$171,'[1]Commercialization Co.'!D$9:D$171,0,0)+(_xlfn.XLOOKUP($C52,'[1]Manufacturing Co.'!$C$9:$C$147,'[1]Manufacturing Co.'!D$9:D$147,0,0))+(_xlfn.XLOOKUP($C52,'[1]Admin Co.'!$C$9:$C$148,'[1]Admin Co.'!D$9:D$148,0,0))</f>
        <v>0</v>
      </c>
      <c r="E52" s="8">
        <f>_xlfn.XLOOKUP($C52,'[1]Commercialization Co.'!$C$9:$C$171,'[1]Commercialization Co.'!E$9:E$171,0,0)+(_xlfn.XLOOKUP($C52,'[1]Manufacturing Co.'!$C$9:$C$147,'[1]Manufacturing Co.'!E$9:E$147,0,0))+(_xlfn.XLOOKUP($C52,'[1]Admin Co.'!$C$9:$C$148,'[1]Admin Co.'!E$9:E$148,0,0))</f>
        <v>0</v>
      </c>
      <c r="F52" s="8">
        <f>_xlfn.XLOOKUP($C52,'[1]Commercialization Co.'!$C$9:$C$171,'[1]Commercialization Co.'!F$9:F$171,0,0)+(_xlfn.XLOOKUP($C52,'[1]Manufacturing Co.'!$C$9:$C$147,'[1]Manufacturing Co.'!F$9:F$147,0,0))+(_xlfn.XLOOKUP($C52,'[1]Admin Co.'!$C$9:$C$148,'[1]Admin Co.'!F$9:F$148,0,0))</f>
        <v>0</v>
      </c>
      <c r="G52" s="8">
        <f>_xlfn.XLOOKUP($C52,'[1]Commercialization Co.'!$C$9:$C$171,'[1]Commercialization Co.'!G$9:G$171,0,0)+(_xlfn.XLOOKUP($C52,'[1]Manufacturing Co.'!$C$9:$C$147,'[1]Manufacturing Co.'!G$9:G$147,0,0))+(_xlfn.XLOOKUP($C52,'[1]Admin Co.'!$C$9:$C$148,'[1]Admin Co.'!G$9:G$148,0,0))</f>
        <v>0</v>
      </c>
      <c r="H52" s="11"/>
    </row>
    <row r="53" spans="3:8" outlineLevel="1">
      <c r="C53" s="36" t="s">
        <v>42</v>
      </c>
      <c r="D53" s="8">
        <f>_xlfn.XLOOKUP($C53,'[1]Commercialization Co.'!$C$9:$C$171,'[1]Commercialization Co.'!D$9:D$171,0,0)+(_xlfn.XLOOKUP($C53,'[1]Manufacturing Co.'!$C$9:$C$147,'[1]Manufacturing Co.'!D$9:D$147,0,0))+(_xlfn.XLOOKUP($C53,'[1]Admin Co.'!$C$9:$C$148,'[1]Admin Co.'!D$9:D$148,0,0))</f>
        <v>0</v>
      </c>
      <c r="E53" s="8">
        <f>_xlfn.XLOOKUP($C53,'[1]Commercialization Co.'!$C$9:$C$171,'[1]Commercialization Co.'!E$9:E$171,0,0)+(_xlfn.XLOOKUP($C53,'[1]Manufacturing Co.'!$C$9:$C$147,'[1]Manufacturing Co.'!E$9:E$147,0,0))+(_xlfn.XLOOKUP($C53,'[1]Admin Co.'!$C$9:$C$148,'[1]Admin Co.'!E$9:E$148,0,0))</f>
        <v>0</v>
      </c>
      <c r="F53" s="8">
        <f>_xlfn.XLOOKUP($C53,'[1]Commercialization Co.'!$C$9:$C$171,'[1]Commercialization Co.'!F$9:F$171,0,0)+(_xlfn.XLOOKUP($C53,'[1]Manufacturing Co.'!$C$9:$C$147,'[1]Manufacturing Co.'!F$9:F$147,0,0))+(_xlfn.XLOOKUP($C53,'[1]Admin Co.'!$C$9:$C$148,'[1]Admin Co.'!F$9:F$148,0,0))</f>
        <v>0</v>
      </c>
      <c r="G53" s="8">
        <f>_xlfn.XLOOKUP($C53,'[1]Commercialization Co.'!$C$9:$C$171,'[1]Commercialization Co.'!G$9:G$171,0,0)+(_xlfn.XLOOKUP($C53,'[1]Manufacturing Co.'!$C$9:$C$147,'[1]Manufacturing Co.'!G$9:G$147,0,0))+(_xlfn.XLOOKUP($C53,'[1]Admin Co.'!$C$9:$C$148,'[1]Admin Co.'!G$9:G$148,0,0))</f>
        <v>0</v>
      </c>
      <c r="H53" s="11"/>
    </row>
    <row r="54" spans="3:8">
      <c r="C54" s="24" t="s">
        <v>43</v>
      </c>
      <c r="D54" s="23">
        <f>SUM(D49:D51)</f>
        <v>18340322.34</v>
      </c>
      <c r="E54" s="23">
        <f>SUM(E49:E51)</f>
        <v>20200017.989999991</v>
      </c>
      <c r="F54" s="23">
        <f>SUM(F49:F51)</f>
        <v>93440590.960000008</v>
      </c>
      <c r="G54" s="23">
        <f>SUM(G49:G51)</f>
        <v>40035992.359999999</v>
      </c>
      <c r="H54" s="31"/>
    </row>
    <row r="55" spans="3:8" s="3" customFormat="1">
      <c r="C55" s="13"/>
      <c r="D55" s="35"/>
      <c r="E55" s="35"/>
      <c r="F55" s="35"/>
      <c r="G55" s="35"/>
      <c r="H55" s="6"/>
    </row>
    <row r="56" spans="3:8" outlineLevel="1">
      <c r="C56" s="26" t="s">
        <v>44</v>
      </c>
      <c r="D56" s="8">
        <f>_xlfn.XLOOKUP($C56,'[1]Commercialization Co.'!$C$9:$C$171,'[1]Commercialization Co.'!D$9:D$171,0,0)+(_xlfn.XLOOKUP($C56,'[1]Manufacturing Co.'!$C$9:$C$147,'[1]Manufacturing Co.'!D$9:D$147,0,0))+(_xlfn.XLOOKUP($C56,'[1]Admin Co.'!$C$9:$C$148,'[1]Admin Co.'!D$9:D$148,0,0))</f>
        <v>25633326.749999996</v>
      </c>
      <c r="E56" s="8">
        <f>_xlfn.XLOOKUP($C56,'[1]Commercialization Co.'!$C$9:$C$171,'[1]Commercialization Co.'!E$9:E$171,0,0)+(_xlfn.XLOOKUP($C56,'[1]Manufacturing Co.'!$C$9:$C$147,'[1]Manufacturing Co.'!E$9:E$147,0,0))+(_xlfn.XLOOKUP($C56,'[1]Admin Co.'!$C$9:$C$148,'[1]Admin Co.'!E$9:E$148,0,0))</f>
        <v>36569883.210000001</v>
      </c>
      <c r="F56" s="8">
        <f>_xlfn.XLOOKUP($C56,'[1]Commercialization Co.'!$C$9:$C$171,'[1]Commercialization Co.'!F$9:F$171,0,0)+(_xlfn.XLOOKUP($C56,'[1]Manufacturing Co.'!$C$9:$C$147,'[1]Manufacturing Co.'!F$9:F$147,0,0))+(_xlfn.XLOOKUP($C56,'[1]Admin Co.'!$C$9:$C$148,'[1]Admin Co.'!F$9:F$148,0,0))</f>
        <v>38650322.759999998</v>
      </c>
      <c r="G56" s="8">
        <f>_xlfn.XLOOKUP($C56,'[1]Commercialization Co.'!$C$9:$C$171,'[1]Commercialization Co.'!G$9:G$171,0,0)+(_xlfn.XLOOKUP($C56,'[1]Manufacturing Co.'!$C$9:$C$147,'[1]Manufacturing Co.'!G$9:G$147,0,0))+(_xlfn.XLOOKUP($C56,'[1]Admin Co.'!$C$9:$C$148,'[1]Admin Co.'!G$9:G$148,0,0))</f>
        <v>26803228.080000002</v>
      </c>
      <c r="H56" s="12"/>
    </row>
    <row r="57" spans="3:8" outlineLevel="1">
      <c r="C57" s="26" t="s">
        <v>45</v>
      </c>
      <c r="D57" s="8">
        <f>_xlfn.XLOOKUP($C57,'[1]Commercialization Co.'!$C$9:$C$171,'[1]Commercialization Co.'!D$9:D$171,0,0)+(_xlfn.XLOOKUP($C57,'[1]Manufacturing Co.'!$C$9:$C$147,'[1]Manufacturing Co.'!D$9:D$147,0,0))+(_xlfn.XLOOKUP($C57,'[1]Admin Co.'!$C$9:$C$148,'[1]Admin Co.'!D$9:D$148,0,0))</f>
        <v>-8162677.6799999997</v>
      </c>
      <c r="E57" s="8">
        <f>_xlfn.XLOOKUP($C57,'[1]Commercialization Co.'!$C$9:$C$171,'[1]Commercialization Co.'!E$9:E$171,0,0)+(_xlfn.XLOOKUP($C57,'[1]Manufacturing Co.'!$C$9:$C$147,'[1]Manufacturing Co.'!E$9:E$147,0,0))+(_xlfn.XLOOKUP($C57,'[1]Admin Co.'!$C$9:$C$148,'[1]Admin Co.'!E$9:E$148,0,0))</f>
        <v>2670423</v>
      </c>
      <c r="F57" s="8">
        <f>_xlfn.XLOOKUP($C57,'[1]Commercialization Co.'!$C$9:$C$171,'[1]Commercialization Co.'!F$9:F$171,0,0)+(_xlfn.XLOOKUP($C57,'[1]Manufacturing Co.'!$C$9:$C$147,'[1]Manufacturing Co.'!F$9:F$147,0,0))+(_xlfn.XLOOKUP($C57,'[1]Admin Co.'!$C$9:$C$148,'[1]Admin Co.'!F$9:F$148,0,0))</f>
        <v>0</v>
      </c>
      <c r="G57" s="8">
        <f>_xlfn.XLOOKUP($C57,'[1]Commercialization Co.'!$C$9:$C$171,'[1]Commercialization Co.'!G$9:G$171,0,0)+(_xlfn.XLOOKUP($C57,'[1]Manufacturing Co.'!$C$9:$C$147,'[1]Manufacturing Co.'!G$9:G$147,0,0))+(_xlfn.XLOOKUP($C57,'[1]Admin Co.'!$C$9:$C$148,'[1]Admin Co.'!G$9:G$148,0,0))</f>
        <v>0</v>
      </c>
      <c r="H57" s="12"/>
    </row>
    <row r="58" spans="3:8" outlineLevel="1">
      <c r="C58" s="26" t="s">
        <v>46</v>
      </c>
      <c r="D58" s="8">
        <f>_xlfn.XLOOKUP($C58,'[1]Commercialization Co.'!$C$9:$C$171,'[1]Commercialization Co.'!D$9:D$171,0,0)+(_xlfn.XLOOKUP($C58,'[1]Manufacturing Co.'!$C$9:$C$147,'[1]Manufacturing Co.'!D$9:D$147,0,0))+(_xlfn.XLOOKUP($C58,'[1]Admin Co.'!$C$9:$C$148,'[1]Admin Co.'!D$9:D$148,0,0))</f>
        <v>-985604.16</v>
      </c>
      <c r="E58" s="8">
        <f>_xlfn.XLOOKUP($C58,'[1]Commercialization Co.'!$C$9:$C$171,'[1]Commercialization Co.'!E$9:E$171,0,0)+(_xlfn.XLOOKUP($C58,'[1]Manufacturing Co.'!$C$9:$C$147,'[1]Manufacturing Co.'!E$9:E$147,0,0))+(_xlfn.XLOOKUP($C58,'[1]Admin Co.'!$C$9:$C$148,'[1]Admin Co.'!E$9:E$148,0,0))</f>
        <v>-5222764.57</v>
      </c>
      <c r="F58" s="8">
        <f>_xlfn.XLOOKUP($C58,'[1]Commercialization Co.'!$C$9:$C$171,'[1]Commercialization Co.'!F$9:F$171,0,0)+(_xlfn.XLOOKUP($C58,'[1]Manufacturing Co.'!$C$9:$C$147,'[1]Manufacturing Co.'!F$9:F$147,0,0))+(_xlfn.XLOOKUP($C58,'[1]Admin Co.'!$C$9:$C$148,'[1]Admin Co.'!F$9:F$148,0,0))</f>
        <v>-1860905.38</v>
      </c>
      <c r="G58" s="8">
        <f>_xlfn.XLOOKUP($C58,'[1]Commercialization Co.'!$C$9:$C$171,'[1]Commercialization Co.'!G$9:G$171,0,0)+(_xlfn.XLOOKUP($C58,'[1]Manufacturing Co.'!$C$9:$C$147,'[1]Manufacturing Co.'!G$9:G$147,0,0))+(_xlfn.XLOOKUP($C58,'[1]Admin Co.'!$C$9:$C$148,'[1]Admin Co.'!G$9:G$148,0,0))</f>
        <v>-10075.030000000001</v>
      </c>
      <c r="H58" s="11"/>
    </row>
    <row r="59" spans="3:8" outlineLevel="1">
      <c r="C59" s="34" t="s">
        <v>47</v>
      </c>
      <c r="D59" s="12">
        <f>[1]InterCompany!D29</f>
        <v>-22359567.039999999</v>
      </c>
      <c r="E59" s="12">
        <f>[1]InterCompany!E29</f>
        <v>-24655710.649999999</v>
      </c>
      <c r="F59" s="12">
        <f>[1]InterCompany!F29</f>
        <v>-25814623.559999999</v>
      </c>
      <c r="G59" s="12">
        <f>[1]InterCompany!G29</f>
        <v>-23314412.32</v>
      </c>
      <c r="H59" s="11"/>
    </row>
    <row r="60" spans="3:8" outlineLevel="1">
      <c r="C60" s="34" t="s">
        <v>48</v>
      </c>
      <c r="D60" s="12">
        <f>[1]InterCompany!D30</f>
        <v>-376690.44</v>
      </c>
      <c r="E60" s="12">
        <f>[1]InterCompany!E30</f>
        <v>-389881.38</v>
      </c>
      <c r="F60" s="12">
        <f>[1]InterCompany!F30</f>
        <v>-404284.8</v>
      </c>
      <c r="G60" s="12">
        <f>[1]InterCompany!G30</f>
        <v>-422970.39</v>
      </c>
      <c r="H60" s="11"/>
    </row>
    <row r="61" spans="3:8" ht="12.75" customHeight="1">
      <c r="C61" s="24" t="s">
        <v>49</v>
      </c>
      <c r="D61" s="23">
        <f>SUM(D56:D60)</f>
        <v>-6251212.5700000031</v>
      </c>
      <c r="E61" s="23">
        <f>SUM(E56:E60)</f>
        <v>8971949.6100000013</v>
      </c>
      <c r="F61" s="23">
        <f>SUM(F56:F60)</f>
        <v>10570509.019999996</v>
      </c>
      <c r="G61" s="23">
        <f>SUM(G56:G60)</f>
        <v>3055770.3400000003</v>
      </c>
      <c r="H61" s="31"/>
    </row>
    <row r="62" spans="3:8">
      <c r="C62" s="17"/>
      <c r="D62" s="17"/>
      <c r="E62" s="17"/>
      <c r="F62" s="17"/>
      <c r="G62" s="17"/>
      <c r="H62" s="16"/>
    </row>
    <row r="63" spans="3:8">
      <c r="C63" s="24" t="s">
        <v>50</v>
      </c>
      <c r="D63" s="23">
        <f ca="1">+D46+D61+D54</f>
        <v>420415681.75999975</v>
      </c>
      <c r="E63" s="23">
        <f ca="1">+E46+E61+E54</f>
        <v>661881325.85000062</v>
      </c>
      <c r="F63" s="23">
        <f ca="1">+F46+F61+F54</f>
        <v>636987278.16999972</v>
      </c>
      <c r="G63" s="23">
        <f ca="1">+G46+G61+G54</f>
        <v>392657122.22999996</v>
      </c>
      <c r="H63" s="31"/>
    </row>
    <row r="64" spans="3:8">
      <c r="C64" s="17"/>
      <c r="D64" s="32"/>
      <c r="E64" s="32"/>
      <c r="F64" s="33"/>
      <c r="G64" s="33"/>
      <c r="H64" s="31"/>
    </row>
    <row r="65" spans="3:8">
      <c r="C65" s="26" t="s">
        <v>51</v>
      </c>
      <c r="D65" s="8">
        <f>_xlfn.XLOOKUP($C65,'[1]Commercialization Co.'!$C$9:$C$171,'[1]Commercialization Co.'!D$9:D$171,0,0)+(_xlfn.XLOOKUP($C65,'[1]Manufacturing Co.'!$C$9:$C$147,'[1]Manufacturing Co.'!D$9:D$147,0,0))+(_xlfn.XLOOKUP($C65,'[1]Admin Co.'!$C$9:$C$148,'[1]Admin Co.'!D$9:D$148,0,0))</f>
        <v>-118817047</v>
      </c>
      <c r="E65" s="8">
        <f>_xlfn.XLOOKUP($C65,'[1]Commercialization Co.'!$C$9:$C$171,'[1]Commercialization Co.'!E$9:E$171,0,0)+(_xlfn.XLOOKUP($C65,'[1]Manufacturing Co.'!$C$9:$C$147,'[1]Manufacturing Co.'!E$9:E$147,0,0))+(_xlfn.XLOOKUP($C65,'[1]Admin Co.'!$C$9:$C$148,'[1]Admin Co.'!E$9:E$148,0,0))</f>
        <v>-194676811.93000001</v>
      </c>
      <c r="F65" s="8">
        <f>_xlfn.XLOOKUP($C65,'[1]Commercialization Co.'!$C$9:$C$171,'[1]Commercialization Co.'!F$9:F$171,0,0)+(_xlfn.XLOOKUP($C65,'[1]Manufacturing Co.'!$C$9:$C$147,'[1]Manufacturing Co.'!F$9:F$147,0,0))+(_xlfn.XLOOKUP($C65,'[1]Admin Co.'!$C$9:$C$148,'[1]Admin Co.'!F$9:F$148,0,0))</f>
        <v>-210338596.56</v>
      </c>
      <c r="G65" s="8">
        <f>_xlfn.XLOOKUP($C65,'[1]Commercialization Co.'!$C$9:$C$171,'[1]Commercialization Co.'!G$9:G$171,0,0)+(_xlfn.XLOOKUP($C65,'[1]Manufacturing Co.'!$C$9:$C$147,'[1]Manufacturing Co.'!G$9:G$147,0,0))+(_xlfn.XLOOKUP($C65,'[1]Admin Co.'!$C$9:$C$148,'[1]Admin Co.'!G$9:G$148,0,0))</f>
        <v>-118397783.27</v>
      </c>
      <c r="H65" s="11"/>
    </row>
    <row r="66" spans="3:8">
      <c r="C66" s="26" t="s">
        <v>52</v>
      </c>
      <c r="D66" s="8">
        <f>_xlfn.XLOOKUP($C66,'[1]Commercialization Co.'!$C$9:$C$171,'[1]Commercialization Co.'!D$9:D$171,0,0)+(_xlfn.XLOOKUP($C66,'[1]Manufacturing Co.'!$C$9:$C$147,'[1]Manufacturing Co.'!D$9:D$147,0,0))+(_xlfn.XLOOKUP($C66,'[1]Admin Co.'!$C$9:$C$148,'[1]Admin Co.'!D$9:D$148,0,0))</f>
        <v>-4542963.1500000004</v>
      </c>
      <c r="E66" s="8">
        <f>_xlfn.XLOOKUP($C66,'[1]Commercialization Co.'!$C$9:$C$171,'[1]Commercialization Co.'!E$9:E$171,0,0)+(_xlfn.XLOOKUP($C66,'[1]Manufacturing Co.'!$C$9:$C$147,'[1]Manufacturing Co.'!E$9:E$147,0,0))+(_xlfn.XLOOKUP($C66,'[1]Admin Co.'!$C$9:$C$148,'[1]Admin Co.'!E$9:E$148,0,0))</f>
        <v>-6251865.5999999996</v>
      </c>
      <c r="F66" s="8">
        <f>_xlfn.XLOOKUP($C66,'[1]Commercialization Co.'!$C$9:$C$171,'[1]Commercialization Co.'!F$9:F$171,0,0)+(_xlfn.XLOOKUP($C66,'[1]Manufacturing Co.'!$C$9:$C$147,'[1]Manufacturing Co.'!F$9:F$147,0,0))+(_xlfn.XLOOKUP($C66,'[1]Admin Co.'!$C$9:$C$148,'[1]Admin Co.'!F$9:F$148,0,0))</f>
        <v>-6430139.7700000005</v>
      </c>
      <c r="G66" s="8">
        <f>_xlfn.XLOOKUP($C66,'[1]Commercialization Co.'!$C$9:$C$171,'[1]Commercialization Co.'!G$9:G$171,0,0)+(_xlfn.XLOOKUP($C66,'[1]Manufacturing Co.'!$C$9:$C$147,'[1]Manufacturing Co.'!G$9:G$147,0,0))+(_xlfn.XLOOKUP($C66,'[1]Admin Co.'!$C$9:$C$148,'[1]Admin Co.'!G$9:G$148,0,0))</f>
        <v>-5185846.09</v>
      </c>
      <c r="H66" s="11"/>
    </row>
    <row r="67" spans="3:8">
      <c r="C67" s="24" t="s">
        <v>53</v>
      </c>
      <c r="D67" s="23">
        <f ca="1">+D63+D65+D66</f>
        <v>297055671.60999978</v>
      </c>
      <c r="E67" s="23">
        <f ca="1">+E63+E65+E66</f>
        <v>460952648.32000059</v>
      </c>
      <c r="F67" s="23">
        <f ca="1">+F63+F65+F66</f>
        <v>420218541.83999974</v>
      </c>
      <c r="G67" s="23">
        <f ca="1">+G63+G65+G66</f>
        <v>269073492.87</v>
      </c>
      <c r="H67" s="31"/>
    </row>
    <row r="68" spans="3:8">
      <c r="C68" s="22" t="s">
        <v>54</v>
      </c>
      <c r="D68" s="20">
        <f ca="1">D67/D$16</f>
        <v>0.16728747055680956</v>
      </c>
      <c r="E68" s="20">
        <f ca="1">E67/E$16</f>
        <v>0.21806452545781788</v>
      </c>
      <c r="F68" s="20">
        <f ca="1">F67/F$16</f>
        <v>0.20491405727420733</v>
      </c>
      <c r="G68" s="20">
        <f ca="1">G67/G$16</f>
        <v>0.14894601841857188</v>
      </c>
      <c r="H68" s="31"/>
    </row>
    <row r="69" spans="3:8">
      <c r="C69" s="17"/>
      <c r="D69" s="17"/>
      <c r="E69" s="17"/>
      <c r="F69" s="32"/>
      <c r="G69"/>
      <c r="H69" s="31"/>
    </row>
    <row r="70" spans="3:8" s="3" customFormat="1">
      <c r="C70" s="30" t="s">
        <v>55</v>
      </c>
      <c r="D70" s="29">
        <f ca="1">D46-D24-D25-D39-D40</f>
        <v>448801256.09999973</v>
      </c>
      <c r="E70" s="29">
        <f ca="1">E46-E24-E25-E39-E40</f>
        <v>690455813.31000054</v>
      </c>
      <c r="F70" s="29">
        <f ca="1">F46-F24-F25-F39-F40</f>
        <v>574604969.70999956</v>
      </c>
      <c r="G70" s="29">
        <f ca="1">G46-G24-G25-G39-G40</f>
        <v>388904562.84999996</v>
      </c>
      <c r="H70" s="28"/>
    </row>
    <row r="71" spans="3:8" s="3" customFormat="1">
      <c r="C71" s="22" t="s">
        <v>56</v>
      </c>
      <c r="D71" s="20">
        <f ca="1">D70/D$16</f>
        <v>0.25274328717163086</v>
      </c>
      <c r="E71" s="20">
        <f ca="1">E70/E$16</f>
        <v>0.32663641228179496</v>
      </c>
      <c r="F71" s="20">
        <f ca="1">F70/F$16</f>
        <v>0.28019857276557508</v>
      </c>
      <c r="G71" s="20">
        <f ca="1">G70/G$16</f>
        <v>0.2152786793060622</v>
      </c>
      <c r="H71" s="27"/>
    </row>
    <row r="72" spans="3:8" ht="13.5" customHeight="1">
      <c r="C72" s="14"/>
      <c r="D72" s="14"/>
      <c r="E72" s="14"/>
      <c r="F72" s="19"/>
      <c r="G72" s="9"/>
    </row>
    <row r="73" spans="3:8" ht="13.5" customHeight="1">
      <c r="C73" s="26" t="s">
        <v>57</v>
      </c>
      <c r="D73" s="19"/>
      <c r="E73" s="19"/>
      <c r="F73" s="19">
        <v>20000000</v>
      </c>
      <c r="G73" s="25">
        <v>20346976.830865797</v>
      </c>
    </row>
    <row r="74" spans="3:8" ht="13.5" customHeight="1">
      <c r="C74" s="24" t="s">
        <v>58</v>
      </c>
      <c r="D74" s="23">
        <f ca="1">D70+D73</f>
        <v>448801256.09999973</v>
      </c>
      <c r="E74" s="23">
        <f ca="1">E70+E73</f>
        <v>690455813.31000054</v>
      </c>
      <c r="F74" s="23">
        <f ca="1">F70+F73</f>
        <v>594604969.70999956</v>
      </c>
      <c r="G74" s="23">
        <f ca="1">G70+G73</f>
        <v>409251539.68086576</v>
      </c>
    </row>
    <row r="75" spans="3:8" ht="13.5" customHeight="1">
      <c r="C75" s="22" t="s">
        <v>59</v>
      </c>
      <c r="D75" s="21">
        <f ca="1">D74/D16</f>
        <v>0.25274328717163086</v>
      </c>
      <c r="E75" s="21">
        <f ca="1">E74/E16</f>
        <v>0.32663641228179496</v>
      </c>
      <c r="F75" s="21">
        <f ca="1">F74/F16</f>
        <v>0.28995131029957133</v>
      </c>
      <c r="G75" s="20">
        <f ca="1">G74/G16</f>
        <v>0.2265417775528917</v>
      </c>
    </row>
    <row r="76" spans="3:8" ht="13.5" customHeight="1">
      <c r="C76" s="14"/>
      <c r="D76" s="14"/>
      <c r="E76" s="14"/>
      <c r="F76" s="19"/>
      <c r="G76" s="18"/>
    </row>
    <row r="77" spans="3:8">
      <c r="C77" s="5"/>
      <c r="D77" s="5"/>
      <c r="E77" s="5"/>
      <c r="F77" s="4"/>
      <c r="G77" s="4"/>
    </row>
  </sheetData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16a9d2-80cc-4820-8600-cd792a263b2e" xsi:nil="true"/>
    <lcf76f155ced4ddcb4097134ff3c332f xmlns="31ccf464-9cfe-475a-a55e-4d5981bc6d7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7A3C23E31AA448AD899B16B7B88A59" ma:contentTypeVersion="10" ma:contentTypeDescription="Crear nuevo documento." ma:contentTypeScope="" ma:versionID="e1c626144d851708212e308702b17cde">
  <xsd:schema xmlns:xsd="http://www.w3.org/2001/XMLSchema" xmlns:xs="http://www.w3.org/2001/XMLSchema" xmlns:p="http://schemas.microsoft.com/office/2006/metadata/properties" xmlns:ns2="31ccf464-9cfe-475a-a55e-4d5981bc6d74" xmlns:ns3="d816a9d2-80cc-4820-8600-cd792a263b2e" targetNamespace="http://schemas.microsoft.com/office/2006/metadata/properties" ma:root="true" ma:fieldsID="ae8c052a7a6671a875db51f282521bca" ns2:_="" ns3:_="">
    <xsd:import namespace="31ccf464-9cfe-475a-a55e-4d5981bc6d74"/>
    <xsd:import namespace="d816a9d2-80cc-4820-8600-cd792a263b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ccf464-9cfe-475a-a55e-4d5981bc6d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9bd7288-70fb-40a4-a554-c831b8948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6a9d2-80cc-4820-8600-cd792a263b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a74049-3dde-4383-bcad-c330d4d4f58e}" ma:internalName="TaxCatchAll" ma:showField="CatchAllData" ma:web="d816a9d2-80cc-4820-8600-cd792a263b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10E176-2442-442D-8C0E-5806700A0E22}"/>
</file>

<file path=customXml/itemProps2.xml><?xml version="1.0" encoding="utf-8"?>
<ds:datastoreItem xmlns:ds="http://schemas.openxmlformats.org/officeDocument/2006/customXml" ds:itemID="{D5D969EE-8599-4E0E-B09B-A1F0BDF4189D}"/>
</file>

<file path=customXml/itemProps3.xml><?xml version="1.0" encoding="utf-8"?>
<ds:datastoreItem xmlns:ds="http://schemas.openxmlformats.org/officeDocument/2006/customXml" ds:itemID="{CF101A08-0537-4451-8B58-85A4337A20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Sanchez</dc:creator>
  <cp:keywords/>
  <dc:description/>
  <cp:lastModifiedBy>Alfredo Felipe Chavez Enriquez</cp:lastModifiedBy>
  <cp:revision/>
  <dcterms:created xsi:type="dcterms:W3CDTF">2026-04-07T22:25:45Z</dcterms:created>
  <dcterms:modified xsi:type="dcterms:W3CDTF">2026-04-07T22:43:04Z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0x0101003F7A3C23E31AA448AD899B16B7B88A59</vt:lpwstr>
  </property>
</Properties>
</file>